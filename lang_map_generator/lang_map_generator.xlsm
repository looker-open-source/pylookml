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1D7F7711-C3A3-984F-B682-B5DC51EDD13F}" xr6:coauthVersionLast="45" xr6:coauthVersionMax="45" xr10:uidLastSave="{00000000-0000-0000-0000-000000000000}"/>
  <bookViews>
    <workbookView xWindow="0" yWindow="460" windowWidth="33600" windowHeight="1948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map!$A$1:$J$353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51" i="7" l="1"/>
  <c r="T352" i="7"/>
  <c r="T353" i="7"/>
  <c r="S352" i="7"/>
  <c r="S353" i="7"/>
  <c r="Q351" i="7"/>
  <c r="R351" i="7"/>
  <c r="Q352" i="7"/>
  <c r="M352" i="7" s="1"/>
  <c r="L352" i="7" s="1"/>
  <c r="R352" i="7"/>
  <c r="Q353" i="7"/>
  <c r="R353" i="7"/>
  <c r="M353" i="7" s="1"/>
  <c r="L353" i="7" s="1"/>
  <c r="N351" i="7"/>
  <c r="O351" i="7"/>
  <c r="N352" i="7"/>
  <c r="O352" i="7"/>
  <c r="N353" i="7"/>
  <c r="O353" i="7"/>
  <c r="M351" i="7"/>
  <c r="L351" i="7" s="1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0" i="7" l="1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<sst xmlns="http://schemas.openxmlformats.org/spreadsheetml/2006/main" count="2008" uniqueCount="622">
  <si>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</si>
  <si>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</si>
  <si>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</si>
  <si>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</si>
  <si>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</si>
  <si>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</si>
  <si>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</si>
  <si>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</si>
  <si>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</si>
  <si>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</si>
  <si>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</si>
  <si>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</si>
  <si>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</si>
  <si>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</si>
  <si>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</si>
  <si>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</si>
  <si>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</si>
  <si>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</si>
  <si>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</si>
  <si>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</si>
  <si>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</si>
  <si>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</si>
  <si>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</si>
  <si>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</si>
  <si>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</si>
  <si>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</si>
  <si>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</si>
  <si>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</si>
  <si>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</si>
  <si>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</si>
  <si>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</si>
  <si>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</si>
  <si>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</si>
  <si>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</si>
  <si>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</si>
  <si>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</si>
  <si>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</si>
  <si>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</si>
  <si>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</si>
  <si>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</si>
  <si>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</si>
  <si>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</si>
  <si>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</si>
  <si>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</si>
  <si>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</si>
  <si>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</si>
  <si>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</si>
  <si>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</si>
  <si>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</si>
  <si>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</si>
  <si>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</si>
  <si>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</si>
  <si>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</si>
  <si>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</si>
  <si>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</si>
  <si>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</si>
  <si>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</si>
  <si>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</si>
  <si>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</si>
  <si>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</si>
  <si>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</si>
  <si>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</si>
  <si>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</si>
  <si>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</si>
  <si>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</si>
  <si>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</si>
  <si>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</si>
  <si>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</si>
  <si>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</si>
  <si>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</si>
  <si>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</si>
  <si>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</si>
  <si>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</si>
  <si>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</si>
  <si>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</si>
  <si>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</si>
  <si>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</si>
  <si>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</si>
  <si>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</si>
  <si>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</si>
  <si>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</si>
  <si>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</si>
  <si>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</si>
  <si>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</si>
  <si>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</si>
  <si>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</si>
  <si>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</si>
  <si>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</si>
  <si>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</si>
  <si>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</si>
  <si>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</si>
  <si>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</si>
  <si>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</si>
  <si>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</si>
  <si>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</si>
  <si>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</si>
  <si>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</si>
  <si>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</si>
  <si>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</si>
  <si>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</si>
  <si>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</si>
  <si>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</si>
  <si>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</si>
  <si>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</si>
  <si>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</si>
  <si>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</si>
  <si>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</si>
  <si>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</si>
  <si>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</si>
  <si>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</si>
  <si>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</si>
  <si>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</si>
  <si>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</si>
  <si>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</si>
  <si>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</si>
  <si>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</si>
  <si>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</si>
  <si>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</si>
  <si>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</si>
  <si>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</si>
  <si>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</si>
  <si>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</si>
  <si>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</si>
  <si>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</si>
  <si>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</si>
  <si>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</si>
  <si>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</si>
  <si>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</si>
  <si>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form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</si>
  <si>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</si>
  <si>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</si>
  <si>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</si>
  <si>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</si>
  <si>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</si>
  <si>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</si>
  <si>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</si>
  <si>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</si>
  <si>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</si>
  <si>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</si>
  <si>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</si>
  <si>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</si>
  <si>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</si>
  <si>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</si>
  <si>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</si>
  <si>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</si>
  <si>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</si>
  <si>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</si>
  <si>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</si>
  <si>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</si>
  <si>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</si>
  <si>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</si>
  <si>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</si>
  <si>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</si>
  <si>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</si>
  <si>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</si>
  <si>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</si>
  <si>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</si>
  <si>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</si>
  <si>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</si>
  <si>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</si>
  <si>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</si>
  <si>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</si>
  <si>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</si>
  <si>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</si>
  <si>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</si>
  <si>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</si>
  <si>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</si>
  <si>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</si>
  <si>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</si>
  <si>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</si>
  <si>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</si>
  <si>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</si>
  <si>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</si>
  <si>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</si>
  <si>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</si>
  <si>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</si>
  <si>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</si>
  <si>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</si>
  <si>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</si>
  <si>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</si>
  <si>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</si>
  <si>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</si>
  <si>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</si>
  <si>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</si>
  <si>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</si>
  <si>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</si>
  <si>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</si>
  <si>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</si>
  <si>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</si>
  <si>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</si>
  <si>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</si>
  <si>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</si>
  <si>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</si>
  <si>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</si>
  <si>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</si>
  <si>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</si>
  <si>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</si>
  <si>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</si>
  <si>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</si>
  <si>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</si>
  <si>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</si>
  <si>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</si>
  <si>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</si>
  <si>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</si>
  <si>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</si>
  <si>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</si>
  <si>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</si>
  <si>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</si>
  <si>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</si>
  <si>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</si>
  <si>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</si>
  <si>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</si>
  <si>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</si>
  <si>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</si>
  <si>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</si>
  <si>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</si>
  <si>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</si>
  <si>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</si>
  <si>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</si>
  <si>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</si>
  <si>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</si>
  <si>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</si>
  <si>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</si>
  <si>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</si>
  <si>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</si>
  <si>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</si>
  <si>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</si>
  <si>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</si>
  <si>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</si>
  <si>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</si>
  <si>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</si>
  <si>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</si>
  <si>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</si>
  <si>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</si>
  <si>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</si>
  <si>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</si>
  <si>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</si>
  <si>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</si>
  <si>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</si>
  <si>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</si>
  <si>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</si>
  <si>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</si>
  <si>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</si>
  <si>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</si>
  <si>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</si>
  <si>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</si>
  <si>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</si>
  <si>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</si>
  <si>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</si>
  <si>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</si>
  <si>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</si>
  <si>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</si>
  <si>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</si>
  <si>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</si>
  <si>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</si>
  <si>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</si>
  <si>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</si>
  <si>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</si>
  <si>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</si>
  <si>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</si>
  <si>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</si>
  <si>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</si>
  <si>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</si>
  <si>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</si>
  <si>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</si>
  <si>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</si>
  <si>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</si>
  <si>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</si>
  <si>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</si>
  <si>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</si>
  <si>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</si>
  <si>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</si>
  <si>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</si>
  <si>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</si>
  <si>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</si>
  <si>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</si>
  <si>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</si>
  <si>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</si>
  <si>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</si>
  <si>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</si>
  <si>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</si>
  <si>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</si>
  <si>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</si>
  <si>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</si>
  <si>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</si>
  <si>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</si>
  <si>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</si>
  <si>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</si>
  <si>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</si>
  <si>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</si>
  <si>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</si>
  <si>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</si>
  <si>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</si>
  <si>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</si>
  <si>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</si>
  <si>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</si>
  <si>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</si>
  <si>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</si>
  <si>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</si>
  <si>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</si>
  <si>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</si>
  <si>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</si>
  <si>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</si>
  <si>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</si>
  <si>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</si>
  <si>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</si>
  <si>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</si>
  <si>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</si>
  <si>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</si>
  <si>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</si>
  <si>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</si>
  <si>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</si>
  <si>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</si>
  <si>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</si>
  <si>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</si>
  <si>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</si>
  <si>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</si>
  <si>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</si>
  <si>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</si>
  <si>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</si>
  <si>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</si>
  <si>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</si>
  <si>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</si>
  <si>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</si>
  <si>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</si>
  <si>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</si>
  <si>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</si>
  <si>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</si>
  <si>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</si>
  <si>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</si>
  <si>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</si>
  <si>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</si>
  <si>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</si>
  <si>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</si>
  <si>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</si>
  <si>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</si>
  <si>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</si>
  <si>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</si>
  <si>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</si>
  <si>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</si>
  <si>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</si>
  <si>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</si>
  <si>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</si>
  <si>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</si>
  <si>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</si>
  <si>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</si>
  <si>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</si>
  <si>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</si>
  <si>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</si>
  <si>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</si>
  <si>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</si>
  <si>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</si>
  <si>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</si>
  <si>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</si>
  <si>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</si>
  <si>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</si>
  <si>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</si>
  <si>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</si>
  <si>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</si>
  <si>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</si>
  <si>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</si>
  <si>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</si>
  <si>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</si>
  <si>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</si>
  <si>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</si>
  <si>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</si>
  <si>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</si>
  <si>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</si>
  <si>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</si>
  <si>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</si>
  <si>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</si>
  <si>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</si>
  <si>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</si>
  <si>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</si>
  <si>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</si>
  <si>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</si>
  <si>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</si>
  <si>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</si>
  <si>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</si>
  <si>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</si>
  <si>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</si>
  <si>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</si>
  <si>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</si>
  <si>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</si>
  <si>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</si>
  <si>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</si>
  <si>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</si>
  <si>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</si>
  <si>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</si>
  <si>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</si>
  <si>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</si>
  <si>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</si>
  <si>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</si>
  <si>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</si>
  <si>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</si>
  <si>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</si>
  <si>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</si>
  <si>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</si>
  <si>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</si>
  <si>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</si>
  <si>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</si>
  <si>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</si>
  <si>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</si>
  <si>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</si>
  <si>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</si>
  <si>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</si>
  <si>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</si>
  <si>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</si>
  <si>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</si>
  <si>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</si>
  <si>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</si>
  <si>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</si>
  <si>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</si>
  <si>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</si>
  <si>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</si>
  <si>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</si>
  <si>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</si>
  <si>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</si>
  <si>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</si>
  <si>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</si>
  <si>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</si>
  <si>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</si>
  <si>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</si>
  <si>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</si>
  <si>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</si>
  <si>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</si>
  <si>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</si>
  <si>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</si>
  <si>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</si>
  <si>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</si>
  <si>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</si>
  <si>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</si>
  <si>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</si>
  <si>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</si>
  <si>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</si>
  <si>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</si>
  <si>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</si>
  <si>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</si>
  <si>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</si>
  <si>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</si>
  <si>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</si>
  <si>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</si>
  <si>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</si>
  <si>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</si>
  <si>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</si>
  <si>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</si>
  <si>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</si>
  <si>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</si>
  <si>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</si>
  <si>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</si>
  <si>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</si>
  <si>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</si>
  <si>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</si>
  <si>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</si>
  <si>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</si>
  <si>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</si>
  <si>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</si>
  <si>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</si>
  <si>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</si>
  <si>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</si>
  <si>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</si>
  <si>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</si>
  <si>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</si>
  <si>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</si>
  <si>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</si>
  <si>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</si>
  <si>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</si>
  <si>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</si>
  <si>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</si>
  <si>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</si>
  <si>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</si>
  <si>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</si>
  <si>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</si>
  <si>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</si>
  <si>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</si>
  <si>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</si>
  <si>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</si>
  <si>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</si>
  <si>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</si>
  <si>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</si>
  <si>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</si>
  <si>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</si>
  <si>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</si>
  <si>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</si>
  <si>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</si>
  <si>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</si>
  <si>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</si>
  <si>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</si>
  <si>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</si>
  <si>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</si>
  <si>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</si>
  <si>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</si>
  <si>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</si>
  <si>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</si>
  <si>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</si>
  <si>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</si>
  <si>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</si>
  <si>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</si>
  <si>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</si>
  <si>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</si>
  <si>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</si>
  <si>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</si>
  <si>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</si>
  <si>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</si>
  <si>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</si>
  <si>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</si>
  <si>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</si>
  <si>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</si>
  <si>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</si>
  <si>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</si>
  <si>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</si>
  <si>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</si>
  <si>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</si>
  <si>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</si>
  <si>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</si>
  <si>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</si>
  <si>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</si>
  <si>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</si>
  <si>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</si>
  <si>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</si>
  <si>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</si>
  <si>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</si>
  <si>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</si>
  <si>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</si>
  <si>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</si>
  <si>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</si>
  <si>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</si>
  <si>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</si>
  <si>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</si>
  <si>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</si>
  <si>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</si>
  <si>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</si>
  <si>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</si>
  <si>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</si>
  <si>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</si>
  <si>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</si>
  <si>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</si>
  <si>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</si>
  <si>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</si>
  <si>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</si>
  <si>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</si>
  <si>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</si>
  <si>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</si>
  <si>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</si>
  <si>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</si>
  <si>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</si>
  <si>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</si>
  <si>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</si>
  <si>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</si>
  <si>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</si>
  <si>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</si>
  <si>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</si>
  <si>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</si>
  <si>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</si>
  <si>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</si>
  <si>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</si>
  <si>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</si>
  <si>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</si>
  <si>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</si>
  <si>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</si>
  <si>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</si>
  <si>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</si>
  <si>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</si>
  <si>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</si>
  <si>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</si>
  <si>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</si>
  <si>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</si>
  <si>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</si>
  <si>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</si>
  <si>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</si>
  <si>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</si>
  <si>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</si>
  <si>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</si>
  <si>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</si>
  <si>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</si>
  <si>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</si>
  <si>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</si>
  <si>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</si>
  <si>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</si>
  <si>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</si>
  <si>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</si>
  <si>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</si>
  <si>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</si>
  <si>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</si>
  <si>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</si>
  <si>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</si>
  <si>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</si>
  <si>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</si>
  <si>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</si>
  <si>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</si>
  <si>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</si>
  <si>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</si>
  <si>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</si>
  <si>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</si>
  <si>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</si>
  <si>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</si>
  <si>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</si>
  <si>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</si>
  <si>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</si>
  <si>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</si>
  <si>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</si>
  <si>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</si>
  <si>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</si>
  <si>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</si>
  <si>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</si>
  <si>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</si>
  <si>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r>
      <t>sql</t>
    </r>
    <r>
      <rPr>
        <sz val="10"/>
        <color rgb="FF3A4245"/>
        <rFont val="Arial"/>
        <family val="2"/>
        <scheme val="minor"/>
      </rPr>
      <t>:</t>
    </r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</si>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</sst>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Roboto Mono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10" fillId="0" borderId="0" xfId="0" applyFont="1" applyAlignment="1"/>
    <xf numFmtId="0" fontId="11" fillId="0" borderId="0" xfId="0" applyFont="1" applyAlignment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>
    <outlinePr summaryBelow="0" summaryRight="0"/>
  </sheetPr>
  <dimension ref="A1:U368"/>
  <sheetViews>
    <sheetView tabSelected="1" topLeftCell="D1" zoomScale="50" zoomScaleNormal="130" workbookViewId="0">
      <pane ySplit="1" topLeftCell="A2" activePane="bottomLeft" state="frozen"/>
      <selection pane="bottomLeft" activeCell="L353" sqref="L2:L353"/>
    </sheetView>
  </sheetViews>
  <sheetFormatPr baseColWidth="10" defaultColWidth="14.5" defaultRowHeight="15" customHeight="1" x14ac:dyDescent="0.15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93.8320312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 x14ac:dyDescent="0.15">
      <c r="A1" s="2" t="s">
        <v>122</v>
      </c>
      <c r="B1" s="2" t="s">
        <v>116</v>
      </c>
      <c r="C1" s="2" t="s">
        <v>117</v>
      </c>
      <c r="D1" s="2" t="s">
        <v>615</v>
      </c>
      <c r="E1" s="2" t="s">
        <v>535</v>
      </c>
      <c r="F1" s="2" t="s">
        <v>611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607</v>
      </c>
      <c r="L1" s="2" t="s">
        <v>608</v>
      </c>
    </row>
    <row r="2" spans="1:20" ht="15" customHeight="1" x14ac:dyDescent="0.15">
      <c r="A2" s="7">
        <v>1</v>
      </c>
      <c r="B2" s="6" t="s">
        <v>474</v>
      </c>
      <c r="C2" s="6" t="s">
        <v>111</v>
      </c>
      <c r="D2" s="4" t="s">
        <v>95</v>
      </c>
      <c r="E2" s="4" t="s">
        <v>593</v>
      </c>
      <c r="F2" s="4">
        <v>0</v>
      </c>
      <c r="H2" s="4" t="s">
        <v>138</v>
      </c>
      <c r="I2" s="4" t="b">
        <v>0</v>
      </c>
      <c r="K2" s="4" t="b">
        <f>IF(COUNTIF($B$2:$B2,B2)&gt;1,TRUE,FALSE)</f>
        <v>0</v>
      </c>
      <c r="L2" t="str">
        <f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>"""default_value"":"&amp;IF(G2="""""",""""",",IF(LEFT(G2,1)="[",G2,""""&amp;G2&amp;"""")&amp;",")</f>
        <v>"default_value":"",</v>
      </c>
      <c r="R2" t="str">
        <f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customHeight="1" x14ac:dyDescent="0.15">
      <c r="A3" s="7">
        <v>2</v>
      </c>
      <c r="B3" s="6" t="s">
        <v>8</v>
      </c>
      <c r="C3" s="6" t="s">
        <v>111</v>
      </c>
      <c r="D3" s="4" t="s">
        <v>569</v>
      </c>
      <c r="E3" s="4" t="s">
        <v>569</v>
      </c>
      <c r="F3" s="4">
        <v>0</v>
      </c>
      <c r="G3" s="4" t="s">
        <v>605</v>
      </c>
      <c r="H3" s="4" t="s">
        <v>139</v>
      </c>
      <c r="I3" s="4" t="b">
        <v>0</v>
      </c>
      <c r="K3" s="4" t="b">
        <f>IF(COUNTIF($B$2:$B3,B3)&gt;1,TRUE,FALSE)</f>
        <v>0</v>
      </c>
      <c r="L3" t="str">
        <f>IF(
K3,"p["""&amp;B3&amp;"""].update({"&amp;""""&amp;C3&amp;""":{"&amp;_xlfn.CONCAT(N3:T3)&amp;"}})","p.update("&amp;M3&amp;")"
)</f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>"{"&amp;""""&amp;B3
&amp;""":{"&amp;""""&amp;C3&amp;""":{"&amp;_xlfn.CONCAT(N3:T3)&amp;"}}}"</f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O66" si="0">"""type"":"&amp;""""&amp;E3&amp;""","</f>
        <v>"type":"yesno",</v>
      </c>
      <c r="O3" t="str">
        <f t="shared" ref="O3:O66" si="1">"""subtype"":"&amp;""""&amp;D3&amp;""","</f>
        <v>"subtype":"yesno",</v>
      </c>
      <c r="P3" t="str">
        <f t="shared" ref="P3:P66" si="2">"""indent"":"&amp;F3&amp;","</f>
        <v>"indent":0,</v>
      </c>
      <c r="Q3" t="str">
        <f>"""default_value"":"&amp;IF(G3="""""",""""",",IF(LEFT(G3,1)="[",G3,""""&amp;G3&amp;"""")&amp;",")</f>
        <v>"default_value":"yes",</v>
      </c>
      <c r="R3" t="str">
        <f>"""docs_url"":"&amp;""""&amp;H3&amp;""","</f>
        <v>"docs_url":"https://looker.com/docs/r/lookml/types/model/case_sensitive?version=7.14&amp;lookml=new",</v>
      </c>
      <c r="S3" t="str">
        <f t="shared" ref="S3:S66" si="3">"""has_allowed_values"":"&amp;IF(I3,"True,","False"&amp;",")</f>
        <v>"has_allowed_values":False,</v>
      </c>
      <c r="T3" t="str">
        <f t="shared" ref="T3:T66" si="4">"""allowed_values"":"&amp;IF(J3&lt;&gt;"",J3,"""""")</f>
        <v>"allowed_values":""</v>
      </c>
    </row>
    <row r="4" spans="1:20" ht="15" customHeight="1" x14ac:dyDescent="0.15">
      <c r="A4" s="7">
        <v>3</v>
      </c>
      <c r="B4" s="6" t="s">
        <v>475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592</v>
      </c>
      <c r="H4" s="4" t="s">
        <v>140</v>
      </c>
      <c r="I4" s="4" t="b">
        <v>0</v>
      </c>
      <c r="K4" s="4" t="b">
        <f>IF(COUNTIF($B$2:$B4,B4)&gt;1,TRUE,FALSE)</f>
        <v>0</v>
      </c>
      <c r="L4" t="str">
        <f>IF(
K4,"p["""&amp;B4&amp;"""].update({"&amp;""""&amp;C4&amp;""":{"&amp;_xlfn.CONCAT(N4:T4)&amp;"}})","p.update("&amp;M4&amp;")"
)</f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>"{"&amp;""""&amp;B4
&amp;""":{"&amp;""""&amp;C4&amp;""":{"&amp;_xlfn.CONCAT(N4:T4)&amp;"}}}"</f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0"/>
        <v>"type":"string",</v>
      </c>
      <c r="O4" t="str">
        <f t="shared" si="1"/>
        <v>"subtype":"string",</v>
      </c>
      <c r="P4" t="str">
        <f t="shared" si="2"/>
        <v>"indent":0,</v>
      </c>
      <c r="Q4" t="str">
        <f>"""default_value"":"&amp;IF(G4="""""",""""",",IF(LEFT(G4,1)="[",G4,""""&amp;G4&amp;"""")&amp;",")</f>
        <v>"default_value":"",</v>
      </c>
      <c r="R4" t="str">
        <f>"""docs_url"":"&amp;""""&amp;H4&amp;""","</f>
        <v>"docs_url":"https://looker.com/docs/r/lookml/types/model/connection?version=7.14&amp;lookml=new",</v>
      </c>
      <c r="S4" t="str">
        <f t="shared" si="3"/>
        <v>"has_allowed_values":False,</v>
      </c>
      <c r="T4" t="str">
        <f t="shared" si="4"/>
        <v>"allowed_values":""</v>
      </c>
    </row>
    <row r="5" spans="1:20" ht="15" customHeight="1" x14ac:dyDescent="0.15">
      <c r="A5" s="7">
        <v>4</v>
      </c>
      <c r="B5" s="6" t="s">
        <v>135</v>
      </c>
      <c r="C5" s="6" t="s">
        <v>111</v>
      </c>
      <c r="D5" s="4" t="s">
        <v>95</v>
      </c>
      <c r="E5" s="4" t="s">
        <v>593</v>
      </c>
      <c r="F5" s="4">
        <v>0</v>
      </c>
      <c r="H5" s="4" t="s">
        <v>141</v>
      </c>
      <c r="I5" s="4" t="b">
        <v>0</v>
      </c>
      <c r="K5" s="4" t="b">
        <f>IF(COUNTIF($B$2:$B5,B5)&gt;1,TRUE,FALSE)</f>
        <v>0</v>
      </c>
      <c r="L5" t="str">
        <f>IF(
K5,"p["""&amp;B5&amp;"""].update({"&amp;""""&amp;C5&amp;""":{"&amp;_xlfn.CONCAT(N5:T5)&amp;"}})","p.update("&amp;M5&amp;")"
)</f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>"{"&amp;""""&amp;B5
&amp;""":{"&amp;""""&amp;C5&amp;""":{"&amp;_xlfn.CONCAT(N5:T5)&amp;"}}}"</f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0"/>
        <v>"type":"named_construct",</v>
      </c>
      <c r="O5" t="str">
        <f t="shared" si="1"/>
        <v>"subtype":"identifier",</v>
      </c>
      <c r="P5" t="str">
        <f t="shared" si="2"/>
        <v>"indent":0,</v>
      </c>
      <c r="Q5" t="str">
        <f>"""default_value"":"&amp;IF(G5="""""",""""",",IF(LEFT(G5,1)="[",G5,""""&amp;G5&amp;"""")&amp;",")</f>
        <v>"default_value":"",</v>
      </c>
      <c r="R5" t="str">
        <f>"""docs_url"":"&amp;""""&amp;H5&amp;""","</f>
        <v>"docs_url":"https://looker.com/docs/r/lookml/types/model/datagroup?version=7.14&amp;lookml=new",</v>
      </c>
      <c r="S5" t="str">
        <f t="shared" si="3"/>
        <v>"has_allowed_values":False,</v>
      </c>
      <c r="T5" t="str">
        <f t="shared" si="4"/>
        <v>"allowed_values":""</v>
      </c>
    </row>
    <row r="6" spans="1:20" ht="15" customHeight="1" x14ac:dyDescent="0.15">
      <c r="A6" s="7">
        <v>5</v>
      </c>
      <c r="B6" s="6" t="s">
        <v>89</v>
      </c>
      <c r="C6" s="6" t="s">
        <v>111</v>
      </c>
      <c r="D6" s="4" t="s">
        <v>95</v>
      </c>
      <c r="E6" s="4" t="s">
        <v>593</v>
      </c>
      <c r="F6" s="4">
        <v>0</v>
      </c>
      <c r="H6" s="4" t="s">
        <v>142</v>
      </c>
      <c r="I6" s="4" t="b">
        <v>0</v>
      </c>
      <c r="K6" s="4" t="b">
        <f>IF(COUNTIF($B$2:$B6,B6)&gt;1,TRUE,FALSE)</f>
        <v>0</v>
      </c>
      <c r="L6" t="str">
        <f>IF(
K6,"p["""&amp;B6&amp;"""].update({"&amp;""""&amp;C6&amp;""":{"&amp;_xlfn.CONCAT(N6:T6)&amp;"}})","p.update("&amp;M6&amp;")"
)</f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>"{"&amp;""""&amp;B6
&amp;""":{"&amp;""""&amp;C6&amp;""":{"&amp;_xlfn.CONCAT(N6:T6)&amp;"}}}"</f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0"/>
        <v>"type":"named_construct",</v>
      </c>
      <c r="O6" t="str">
        <f t="shared" si="1"/>
        <v>"subtype":"identifier",</v>
      </c>
      <c r="P6" t="str">
        <f t="shared" si="2"/>
        <v>"indent":0,</v>
      </c>
      <c r="Q6" t="str">
        <f>"""default_value"":"&amp;IF(G6="""""",""""",",IF(LEFT(G6,1)="[",G6,""""&amp;G6&amp;"""")&amp;",")</f>
        <v>"default_value":"",</v>
      </c>
      <c r="R6" t="str">
        <f>"""docs_url"":"&amp;""""&amp;H6&amp;""","</f>
        <v>"docs_url":"https://looker.com/docs/r/lookml/types/model/explore?version=7.14&amp;lookml=new",</v>
      </c>
      <c r="S6" t="str">
        <f t="shared" si="3"/>
        <v>"has_allowed_values":False,</v>
      </c>
      <c r="T6" t="str">
        <f t="shared" si="4"/>
        <v>"allowed_values":""</v>
      </c>
    </row>
    <row r="7" spans="1:20" ht="15" customHeight="1" x14ac:dyDescent="0.15">
      <c r="A7" s="7">
        <v>6</v>
      </c>
      <c r="B7" s="6" t="s">
        <v>476</v>
      </c>
      <c r="C7" s="6" t="s">
        <v>111</v>
      </c>
      <c r="D7" s="4" t="s">
        <v>62</v>
      </c>
      <c r="E7" s="4" t="s">
        <v>599</v>
      </c>
      <c r="F7" s="4">
        <v>0</v>
      </c>
      <c r="G7" s="4">
        <v>0</v>
      </c>
      <c r="H7" s="4" t="s">
        <v>143</v>
      </c>
      <c r="I7" s="4" t="b">
        <v>0</v>
      </c>
      <c r="K7" s="4" t="b">
        <f>IF(COUNTIF($B$2:$B7,B7)&gt;1,TRUE,FALSE)</f>
        <v>0</v>
      </c>
      <c r="L7" t="str">
        <f>IF(
K7,"p["""&amp;B7&amp;"""].update({"&amp;""""&amp;C7&amp;""":{"&amp;_xlfn.CONCAT(N7:T7)&amp;"}})","p.update("&amp;M7&amp;")"
)</f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>"{"&amp;""""&amp;B7
&amp;""":{"&amp;""""&amp;C7&amp;""":{"&amp;_xlfn.CONCAT(N7:T7)&amp;"}}}"</f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0"/>
        <v>"type":"string_unquoted",</v>
      </c>
      <c r="O7" t="str">
        <f t="shared" si="1"/>
        <v>"subtype":"number",</v>
      </c>
      <c r="P7" t="str">
        <f t="shared" si="2"/>
        <v>"indent":0,</v>
      </c>
      <c r="Q7" t="str">
        <f>"""default_value"":"&amp;IF(G7="""""",""""",",IF(LEFT(G7,1)="[",G7,""""&amp;G7&amp;"""")&amp;",")</f>
        <v>"default_value":"0",</v>
      </c>
      <c r="R7" t="str">
        <f>"""docs_url"":"&amp;""""&amp;H7&amp;""","</f>
        <v>"docs_url":"https://looker.com/docs/r/lookml/types/model/fiscal_month_offset?version=7.14&amp;lookml=new",</v>
      </c>
      <c r="S7" t="str">
        <f t="shared" si="3"/>
        <v>"has_allowed_values":False,</v>
      </c>
      <c r="T7" t="str">
        <f t="shared" si="4"/>
        <v>"allowed_values":""</v>
      </c>
    </row>
    <row r="8" spans="1:20" ht="15" customHeight="1" x14ac:dyDescent="0.15">
      <c r="A8" s="7">
        <v>7</v>
      </c>
      <c r="B8" s="6" t="s">
        <v>477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592</v>
      </c>
      <c r="H8" s="4" t="s">
        <v>144</v>
      </c>
      <c r="I8" s="4" t="b">
        <v>0</v>
      </c>
      <c r="K8" s="4" t="b">
        <f>IF(COUNTIF($B$2:$B8,B8)&gt;1,TRUE,FALSE)</f>
        <v>0</v>
      </c>
      <c r="L8" t="str">
        <f>IF(
K8,"p["""&amp;B8&amp;"""].update({"&amp;""""&amp;C8&amp;""":{"&amp;_xlfn.CONCAT(N8:T8)&amp;"}})","p.update("&amp;M8&amp;")"
)</f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>"{"&amp;""""&amp;B8
&amp;""":{"&amp;""""&amp;C8&amp;""":{"&amp;_xlfn.CONCAT(N8:T8)&amp;"}}}"</f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0"/>
        <v>"type":"string",</v>
      </c>
      <c r="O8" t="str">
        <f t="shared" si="1"/>
        <v>"subtype":"string",</v>
      </c>
      <c r="P8" t="str">
        <f t="shared" si="2"/>
        <v>"indent":0,</v>
      </c>
      <c r="Q8" t="str">
        <f>"""default_value"":"&amp;IF(G8="""""",""""",",IF(LEFT(G8,1)="[",G8,""""&amp;G8&amp;"""")&amp;",")</f>
        <v>"default_value":"",</v>
      </c>
      <c r="R8" t="str">
        <f>"""docs_url"":"&amp;""""&amp;H8&amp;""","</f>
        <v>"docs_url":"https://looker.com/docs/r/lookml/types/model/include?version=7.14&amp;lookml=new",</v>
      </c>
      <c r="S8" t="str">
        <f t="shared" si="3"/>
        <v>"has_allowed_values":False,</v>
      </c>
      <c r="T8" t="str">
        <f t="shared" si="4"/>
        <v>"allowed_values":""</v>
      </c>
    </row>
    <row r="9" spans="1:20" ht="15" customHeight="1" x14ac:dyDescent="0.15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592</v>
      </c>
      <c r="H9" s="4" t="s">
        <v>145</v>
      </c>
      <c r="I9" s="4" t="b">
        <v>0</v>
      </c>
      <c r="K9" s="4" t="b">
        <f>IF(COUNTIF($B$2:$B9,B9)&gt;1,TRUE,FALSE)</f>
        <v>0</v>
      </c>
      <c r="L9" t="str">
        <f>IF(
K9,"p["""&amp;B9&amp;"""].update({"&amp;""""&amp;C9&amp;""":{"&amp;_xlfn.CONCAT(N9:T9)&amp;"}})","p.update("&amp;M9&amp;")"
)</f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>"{"&amp;""""&amp;B9
&amp;""":{"&amp;""""&amp;C9&amp;""":{"&amp;_xlfn.CONCAT(N9:T9)&amp;"}}}"</f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0"/>
        <v>"type":"string",</v>
      </c>
      <c r="O9" t="str">
        <f t="shared" si="1"/>
        <v>"subtype":"possibly-localized-string",</v>
      </c>
      <c r="P9" t="str">
        <f t="shared" si="2"/>
        <v>"indent":0,</v>
      </c>
      <c r="Q9" t="str">
        <f>"""default_value"":"&amp;IF(G9="""""",""""",",IF(LEFT(G9,1)="[",G9,""""&amp;G9&amp;"""")&amp;",")</f>
        <v>"default_value":"",</v>
      </c>
      <c r="R9" t="str">
        <f>"""docs_url"":"&amp;""""&amp;H9&amp;""","</f>
        <v>"docs_url":"https://looker.com/docs/r/lookml/types/model/label?version=7.14&amp;lookml=new",</v>
      </c>
      <c r="S9" t="str">
        <f t="shared" si="3"/>
        <v>"has_allowed_values":False,</v>
      </c>
      <c r="T9" t="str">
        <f t="shared" si="4"/>
        <v>"allowed_values":""</v>
      </c>
    </row>
    <row r="10" spans="1:20" ht="15" customHeight="1" x14ac:dyDescent="0.15">
      <c r="A10" s="7">
        <v>9</v>
      </c>
      <c r="B10" s="6" t="s">
        <v>133</v>
      </c>
      <c r="C10" s="6" t="s">
        <v>111</v>
      </c>
      <c r="D10" s="4" t="s">
        <v>95</v>
      </c>
      <c r="E10" s="4" t="s">
        <v>593</v>
      </c>
      <c r="F10" s="4">
        <v>0</v>
      </c>
      <c r="H10" s="4" t="s">
        <v>146</v>
      </c>
      <c r="I10" s="4" t="b">
        <v>0</v>
      </c>
      <c r="K10" s="4" t="b">
        <f>IF(COUNTIF($B$2:$B10,B10)&gt;1,TRUE,FALSE)</f>
        <v>0</v>
      </c>
      <c r="L10" t="str">
        <f>IF(
K10,"p["""&amp;B10&amp;"""].update({"&amp;""""&amp;C10&amp;""":{"&amp;_xlfn.CONCAT(N10:T10)&amp;"}})","p.update("&amp;M10&amp;")"
)</f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>"{"&amp;""""&amp;B10
&amp;""":{"&amp;""""&amp;C10&amp;""":{"&amp;_xlfn.CONCAT(N10:T10)&amp;"}}}"</f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0"/>
        <v>"type":"named_construct",</v>
      </c>
      <c r="O10" t="str">
        <f t="shared" si="1"/>
        <v>"subtype":"identifier",</v>
      </c>
      <c r="P10" t="str">
        <f t="shared" si="2"/>
        <v>"indent":0,</v>
      </c>
      <c r="Q10" t="str">
        <f>"""default_value"":"&amp;IF(G10="""""",""""",",IF(LEFT(G10,1)="[",G10,""""&amp;G10&amp;"""")&amp;",")</f>
        <v>"default_value":"",</v>
      </c>
      <c r="R10" t="str">
        <f>"""docs_url"":"&amp;""""&amp;H10&amp;""","</f>
        <v>"docs_url":"https://looker.com/docs/r/lookml/types/model/map_layer?version=7.14&amp;lookml=new",</v>
      </c>
      <c r="S10" t="str">
        <f t="shared" si="3"/>
        <v>"has_allowed_values":False,</v>
      </c>
      <c r="T10" t="str">
        <f t="shared" si="4"/>
        <v>"allowed_values":""</v>
      </c>
    </row>
    <row r="11" spans="1:20" ht="15" customHeight="1" x14ac:dyDescent="0.15">
      <c r="A11" s="7">
        <v>10</v>
      </c>
      <c r="B11" s="6" t="s">
        <v>136</v>
      </c>
      <c r="C11" s="6" t="s">
        <v>111</v>
      </c>
      <c r="D11" s="4" t="s">
        <v>95</v>
      </c>
      <c r="E11" s="4" t="s">
        <v>593</v>
      </c>
      <c r="F11" s="4">
        <v>0</v>
      </c>
      <c r="H11" s="4" t="s">
        <v>147</v>
      </c>
      <c r="I11" s="4" t="b">
        <v>0</v>
      </c>
      <c r="K11" s="4" t="b">
        <f>IF(COUNTIF($B$2:$B11,B11)&gt;1,TRUE,FALSE)</f>
        <v>0</v>
      </c>
      <c r="L11" t="str">
        <f>IF(
K11,"p["""&amp;B11&amp;"""].update({"&amp;""""&amp;C11&amp;""":{"&amp;_xlfn.CONCAT(N11:T11)&amp;"}})","p.update("&amp;M11&amp;")"
)</f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>"{"&amp;""""&amp;B11
&amp;""":{"&amp;""""&amp;C11&amp;""":{"&amp;_xlfn.CONCAT(N11:T11)&amp;"}}}"</f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0"/>
        <v>"type":"named_construct",</v>
      </c>
      <c r="O11" t="str">
        <f t="shared" si="1"/>
        <v>"subtype":"identifier",</v>
      </c>
      <c r="P11" t="str">
        <f t="shared" si="2"/>
        <v>"indent":0,</v>
      </c>
      <c r="Q11" t="str">
        <f>"""default_value"":"&amp;IF(G11="""""",""""",",IF(LEFT(G11,1)="[",G11,""""&amp;G11&amp;"""")&amp;",")</f>
        <v>"default_value":"",</v>
      </c>
      <c r="R11" t="str">
        <f>"""docs_url"":"&amp;""""&amp;H11&amp;""","</f>
        <v>"docs_url":"https://looker.com/docs/r/lookml/types/model/named_value_format?version=7.14&amp;lookml=new",</v>
      </c>
      <c r="S11" t="str">
        <f t="shared" si="3"/>
        <v>"has_allowed_values":False,</v>
      </c>
      <c r="T11" t="str">
        <f t="shared" si="4"/>
        <v>"allowed_values":""</v>
      </c>
    </row>
    <row r="12" spans="1:20" ht="15" customHeight="1" x14ac:dyDescent="0.15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592</v>
      </c>
      <c r="H12" s="4" t="s">
        <v>148</v>
      </c>
      <c r="I12" s="4" t="b">
        <v>0</v>
      </c>
      <c r="K12" s="4" t="b">
        <f>IF(COUNTIF($B$2:$B12,B12)&gt;1,TRUE,FALSE)</f>
        <v>0</v>
      </c>
      <c r="L12" t="str">
        <f>IF(
K12,"p["""&amp;B12&amp;"""].update({"&amp;""""&amp;C12&amp;""":{"&amp;_xlfn.CONCAT(N12:T12)&amp;"}})","p.update("&amp;M12&amp;")"
)</f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>"{"&amp;""""&amp;B12
&amp;""":{"&amp;""""&amp;C12&amp;""":{"&amp;_xlfn.CONCAT(N12:T12)&amp;"}}}"</f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0"/>
        <v>"type":"string",</v>
      </c>
      <c r="O12" t="str">
        <f t="shared" si="1"/>
        <v>"subtype":"string",</v>
      </c>
      <c r="P12" t="str">
        <f t="shared" si="2"/>
        <v>"indent":0,</v>
      </c>
      <c r="Q12" t="str">
        <f>"""default_value"":"&amp;IF(G12="""""",""""",",IF(LEFT(G12,1)="[",G12,""""&amp;G12&amp;"""")&amp;",")</f>
        <v>"default_value":"",</v>
      </c>
      <c r="R12" t="str">
        <f>"""docs_url"":"&amp;""""&amp;H12&amp;""","</f>
        <v>"docs_url":"https://looker.com/docs/r/lookml/types/model/persist_for?version=7.14&amp;lookml=new",</v>
      </c>
      <c r="S12" t="str">
        <f t="shared" si="3"/>
        <v>"has_allowed_values":False,</v>
      </c>
      <c r="T12" t="str">
        <f t="shared" si="4"/>
        <v>"allowed_values":""</v>
      </c>
    </row>
    <row r="13" spans="1:20" ht="15" customHeight="1" x14ac:dyDescent="0.15">
      <c r="A13" s="7">
        <v>12</v>
      </c>
      <c r="B13" s="6" t="s">
        <v>97</v>
      </c>
      <c r="C13" s="6" t="s">
        <v>111</v>
      </c>
      <c r="D13" s="4" t="s">
        <v>68</v>
      </c>
      <c r="E13" s="4" t="s">
        <v>599</v>
      </c>
      <c r="F13" s="4">
        <v>0</v>
      </c>
      <c r="H13" s="4" t="s">
        <v>149</v>
      </c>
      <c r="I13" s="4" t="b">
        <v>0</v>
      </c>
      <c r="K13" s="4" t="b">
        <f>IF(COUNTIF($B$2:$B13,B13)&gt;1,TRUE,FALSE)</f>
        <v>0</v>
      </c>
      <c r="L13" t="str">
        <f>IF(
K13,"p["""&amp;B13&amp;"""].update({"&amp;""""&amp;C13&amp;""":{"&amp;_xlfn.CONCAT(N13:T13)&amp;"}})","p.update("&amp;M13&amp;")"
)</f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>"{"&amp;""""&amp;B13
&amp;""":{"&amp;""""&amp;C13&amp;""":{"&amp;_xlfn.CONCAT(N13:T13)&amp;"}}}"</f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0"/>
        <v>"type":"string_unquoted",</v>
      </c>
      <c r="O13" t="str">
        <f t="shared" si="1"/>
        <v>"subtype":"datagroup-ref",</v>
      </c>
      <c r="P13" t="str">
        <f t="shared" si="2"/>
        <v>"indent":0,</v>
      </c>
      <c r="Q13" t="str">
        <f>"""default_value"":"&amp;IF(G13="""""",""""",",IF(LEFT(G13,1)="[",G13,""""&amp;G13&amp;"""")&amp;",")</f>
        <v>"default_value":"",</v>
      </c>
      <c r="R13" t="str">
        <f>"""docs_url"":"&amp;""""&amp;H13&amp;""","</f>
        <v>"docs_url":"https://looker.com/docs/r/lookml/types/model/persist_with?version=7.14&amp;lookml=new",</v>
      </c>
      <c r="S13" t="str">
        <f t="shared" si="3"/>
        <v>"has_allowed_values":False,</v>
      </c>
      <c r="T13" t="str">
        <f t="shared" si="4"/>
        <v>"allowed_values":""</v>
      </c>
    </row>
    <row r="14" spans="1:20" ht="15" customHeight="1" x14ac:dyDescent="0.15">
      <c r="A14" s="7">
        <v>13</v>
      </c>
      <c r="B14" s="6" t="s">
        <v>134</v>
      </c>
      <c r="C14" s="6" t="s">
        <v>111</v>
      </c>
      <c r="D14" s="4" t="s">
        <v>95</v>
      </c>
      <c r="E14" s="4" t="s">
        <v>593</v>
      </c>
      <c r="F14" s="4">
        <v>0</v>
      </c>
      <c r="H14" s="4" t="s">
        <v>150</v>
      </c>
      <c r="I14" s="4" t="b">
        <v>0</v>
      </c>
      <c r="K14" s="4" t="b">
        <f>IF(COUNTIF($B$2:$B14,B14)&gt;1,TRUE,FALSE)</f>
        <v>0</v>
      </c>
      <c r="L14" t="str">
        <f>IF(
K14,"p["""&amp;B14&amp;"""].update({"&amp;""""&amp;C14&amp;""":{"&amp;_xlfn.CONCAT(N14:T14)&amp;"}})","p.update("&amp;M14&amp;")"
)</f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>"{"&amp;""""&amp;B14
&amp;""":{"&amp;""""&amp;C14&amp;""":{"&amp;_xlfn.CONCAT(N14:T14)&amp;"}}}"</f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0"/>
        <v>"type":"named_construct",</v>
      </c>
      <c r="O14" t="str">
        <f t="shared" si="1"/>
        <v>"subtype":"identifier",</v>
      </c>
      <c r="P14" t="str">
        <f t="shared" si="2"/>
        <v>"indent":0,</v>
      </c>
      <c r="Q14" t="str">
        <f>"""default_value"":"&amp;IF(G14="""""",""""",",IF(LEFT(G14,1)="[",G14,""""&amp;G14&amp;"""")&amp;",")</f>
        <v>"default_value":"",</v>
      </c>
      <c r="R14" t="str">
        <f>"""docs_url"":"&amp;""""&amp;H14&amp;""","</f>
        <v>"docs_url":"https://looker.com/docs/r/lookml/types/model/test?version=7.14&amp;lookml=new",</v>
      </c>
      <c r="S14" t="str">
        <f t="shared" si="3"/>
        <v>"has_allowed_values":False,</v>
      </c>
      <c r="T14" t="str">
        <f t="shared" si="4"/>
        <v>"allowed_values":""</v>
      </c>
    </row>
    <row r="15" spans="1:20" ht="15" customHeight="1" x14ac:dyDescent="0.15">
      <c r="A15" s="7">
        <v>14</v>
      </c>
      <c r="B15" s="6" t="s">
        <v>110</v>
      </c>
      <c r="C15" s="6" t="s">
        <v>111</v>
      </c>
      <c r="D15" s="4" t="s">
        <v>95</v>
      </c>
      <c r="E15" s="4" t="s">
        <v>593</v>
      </c>
      <c r="F15" s="4">
        <v>0</v>
      </c>
      <c r="H15" s="4" t="s">
        <v>151</v>
      </c>
      <c r="I15" s="4" t="b">
        <v>0</v>
      </c>
      <c r="K15" s="4" t="b">
        <f>IF(COUNTIF($B$2:$B15,B15)&gt;1,TRUE,FALSE)</f>
        <v>0</v>
      </c>
      <c r="L15" t="str">
        <f>IF(
K15,"p["""&amp;B15&amp;"""].update({"&amp;""""&amp;C15&amp;""":{"&amp;_xlfn.CONCAT(N15:T15)&amp;"}})","p.update("&amp;M15&amp;")"
)</f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>"{"&amp;""""&amp;B15
&amp;""":{"&amp;""""&amp;C15&amp;""":{"&amp;_xlfn.CONCAT(N15:T15)&amp;"}}}"</f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0"/>
        <v>"type":"named_construct",</v>
      </c>
      <c r="O15" t="str">
        <f t="shared" si="1"/>
        <v>"subtype":"identifier",</v>
      </c>
      <c r="P15" t="str">
        <f t="shared" si="2"/>
        <v>"indent":0,</v>
      </c>
      <c r="Q15" t="str">
        <f>"""default_value"":"&amp;IF(G15="""""",""""",",IF(LEFT(G15,1)="[",G15,""""&amp;G15&amp;"""")&amp;",")</f>
        <v>"default_value":"",</v>
      </c>
      <c r="R15" t="str">
        <f>"""docs_url"":"&amp;""""&amp;H15&amp;""","</f>
        <v>"docs_url":"https://looker.com/docs/r/lookml/types/model/view?version=7.14&amp;lookml=new",</v>
      </c>
      <c r="S15" t="str">
        <f t="shared" si="3"/>
        <v>"has_allowed_values":False,</v>
      </c>
      <c r="T15" t="str">
        <f t="shared" si="4"/>
        <v>"allowed_values":""</v>
      </c>
    </row>
    <row r="16" spans="1:20" ht="15" customHeight="1" x14ac:dyDescent="0.15">
      <c r="A16" s="7">
        <v>15</v>
      </c>
      <c r="B16" s="6" t="s">
        <v>478</v>
      </c>
      <c r="C16" s="6" t="s">
        <v>111</v>
      </c>
      <c r="D16" s="4" t="s">
        <v>551</v>
      </c>
      <c r="E16" s="4" t="s">
        <v>551</v>
      </c>
      <c r="F16" s="4">
        <v>0</v>
      </c>
      <c r="G16" s="4" t="s">
        <v>594</v>
      </c>
      <c r="H16" s="4" t="s">
        <v>152</v>
      </c>
      <c r="I16" s="4" t="b">
        <v>1</v>
      </c>
      <c r="J16" s="4" t="s">
        <v>574</v>
      </c>
      <c r="K16" s="4" t="b">
        <f>IF(COUNTIF($B$2:$B16,B16)&gt;1,TRUE,FALSE)</f>
        <v>0</v>
      </c>
      <c r="L16" t="str">
        <f>IF(
K16,"p["""&amp;B16&amp;"""].update({"&amp;""""&amp;C16&amp;""":{"&amp;_xlfn.CONCAT(N16:T16)&amp;"}})","p.update("&amp;M16&amp;")"
)</f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>"{"&amp;""""&amp;B16
&amp;""":{"&amp;""""&amp;C16&amp;""":{"&amp;_xlfn.CONCAT(N16:T16)&amp;"}}}"</f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0"/>
        <v>"type":"options",</v>
      </c>
      <c r="O16" t="str">
        <f t="shared" si="1"/>
        <v>"subtype":"options",</v>
      </c>
      <c r="P16" t="str">
        <f t="shared" si="2"/>
        <v>"indent":0,</v>
      </c>
      <c r="Q16" t="str">
        <f>"""default_value"":"&amp;IF(G16="""""",""""",",IF(LEFT(G16,1)="[",G16,""""&amp;G16&amp;"""")&amp;",")</f>
        <v>"default_value":"monday",</v>
      </c>
      <c r="R16" t="str">
        <f>"""docs_url"":"&amp;""""&amp;H16&amp;""","</f>
        <v>"docs_url":"https://looker.com/docs/r/lookml/types/model/week_start_day?version=7.14&amp;lookml=new",</v>
      </c>
      <c r="S16" t="str">
        <f t="shared" si="3"/>
        <v>"has_allowed_values":True,</v>
      </c>
      <c r="T16" t="str">
        <f t="shared" si="4"/>
        <v>"allowed_values":["monday", "tuesday", "wednesday", "thursday", "friday", "saturday", "sunday"]</v>
      </c>
    </row>
    <row r="17" spans="1:20" ht="15" customHeight="1" x14ac:dyDescent="0.15">
      <c r="A17" s="7">
        <v>18</v>
      </c>
      <c r="B17" s="6" t="s">
        <v>479</v>
      </c>
      <c r="C17" s="6" t="s">
        <v>114</v>
      </c>
      <c r="D17" s="4" t="s">
        <v>541</v>
      </c>
      <c r="E17" s="4" t="s">
        <v>541</v>
      </c>
      <c r="F17" s="4">
        <v>0</v>
      </c>
      <c r="H17" s="4" t="s">
        <v>153</v>
      </c>
      <c r="I17" s="4" t="b">
        <v>0</v>
      </c>
      <c r="K17" s="4" t="b">
        <f>IF(COUNTIF($B$2:$B17,B17)&gt;1,TRUE,FALSE)</f>
        <v>0</v>
      </c>
      <c r="L17" t="str">
        <f>IF(
K17,"p["""&amp;B17&amp;"""].update({"&amp;""""&amp;C17&amp;""":{"&amp;_xlfn.CONCAT(N17:T17)&amp;"}})","p.update("&amp;M17&amp;")"
)</f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>"{"&amp;""""&amp;B17
&amp;""":{"&amp;""""&amp;C17&amp;""":{"&amp;_xlfn.CONCAT(N17:T17)&amp;"}}}"</f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0"/>
        <v>"type":"anonymous_construct_plural",</v>
      </c>
      <c r="O17" t="str">
        <f t="shared" si="1"/>
        <v>"subtype":"anonymous_construct_plural",</v>
      </c>
      <c r="P17" t="str">
        <f t="shared" si="2"/>
        <v>"indent":0,</v>
      </c>
      <c r="Q17" t="str">
        <f>"""default_value"":"&amp;IF(G17="""""",""""",",IF(LEFT(G17,1)="[",G17,""""&amp;G17&amp;"""")&amp;",")</f>
        <v>"default_value":"",</v>
      </c>
      <c r="R17" t="str">
        <f>"""docs_url"":"&amp;""""&amp;H17&amp;""","</f>
        <v>"docs_url":"https://looker.com/docs/r/lookml/types/manifest/local_dependency?version=7.14&amp;lookml=new",</v>
      </c>
      <c r="S17" t="str">
        <f t="shared" si="3"/>
        <v>"has_allowed_values":False,</v>
      </c>
      <c r="T17" t="str">
        <f t="shared" si="4"/>
        <v>"allowed_values":""</v>
      </c>
    </row>
    <row r="18" spans="1:20" ht="15" customHeight="1" x14ac:dyDescent="0.15">
      <c r="A18" s="7">
        <v>19</v>
      </c>
      <c r="B18" s="6" t="s">
        <v>480</v>
      </c>
      <c r="C18" s="6" t="s">
        <v>114</v>
      </c>
      <c r="D18" s="4" t="s">
        <v>95</v>
      </c>
      <c r="E18" s="4" t="s">
        <v>593</v>
      </c>
      <c r="F18" s="4">
        <v>0</v>
      </c>
      <c r="H18" s="4" t="s">
        <v>154</v>
      </c>
      <c r="I18" s="4" t="b">
        <v>0</v>
      </c>
      <c r="K18" s="4" t="b">
        <f>IF(COUNTIF($B$2:$B18,B18)&gt;1,TRUE,FALSE)</f>
        <v>0</v>
      </c>
      <c r="L18" t="str">
        <f>IF(
K18,"p["""&amp;B18&amp;"""].update({"&amp;""""&amp;C18&amp;""":{"&amp;_xlfn.CONCAT(N18:T18)&amp;"}})","p.update("&amp;M18&amp;")"
)</f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>"{"&amp;""""&amp;B18
&amp;""":{"&amp;""""&amp;C18&amp;""":{"&amp;_xlfn.CONCAT(N18:T18)&amp;"}}}"</f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0"/>
        <v>"type":"named_construct",</v>
      </c>
      <c r="O18" t="str">
        <f t="shared" si="1"/>
        <v>"subtype":"identifier",</v>
      </c>
      <c r="P18" t="str">
        <f t="shared" si="2"/>
        <v>"indent":0,</v>
      </c>
      <c r="Q18" t="str">
        <f>"""default_value"":"&amp;IF(G18="""""",""""",",IF(LEFT(G18,1)="[",G18,""""&amp;G18&amp;"""")&amp;",")</f>
        <v>"default_value":"",</v>
      </c>
      <c r="R18" t="str">
        <f>"""docs_url"":"&amp;""""&amp;H18&amp;""","</f>
        <v>"docs_url":"https://looker.com/docs/r/lookml/types/manifest/remote_dependency?version=7.14&amp;lookml=new",</v>
      </c>
      <c r="S18" t="str">
        <f t="shared" si="3"/>
        <v>"has_allowed_values":False,</v>
      </c>
      <c r="T18" t="str">
        <f t="shared" si="4"/>
        <v>"allowed_values":""</v>
      </c>
    </row>
    <row r="19" spans="1:20" ht="15" customHeight="1" x14ac:dyDescent="0.15">
      <c r="A19" s="7">
        <v>20</v>
      </c>
      <c r="B19" s="6" t="s">
        <v>481</v>
      </c>
      <c r="C19" s="6" t="s">
        <v>114</v>
      </c>
      <c r="D19" s="4" t="s">
        <v>540</v>
      </c>
      <c r="E19" s="4" t="s">
        <v>540</v>
      </c>
      <c r="F19" s="4">
        <v>0</v>
      </c>
      <c r="H19" s="4" t="s">
        <v>155</v>
      </c>
      <c r="I19" s="4" t="b">
        <v>0</v>
      </c>
      <c r="K19" s="4" t="b">
        <f>IF(COUNTIF($B$2:$B19,B19)&gt;1,TRUE,FALSE)</f>
        <v>0</v>
      </c>
      <c r="L19" t="str">
        <f>IF(
K19,"p["""&amp;B19&amp;"""].update({"&amp;""""&amp;C19&amp;""":{"&amp;_xlfn.CONCAT(N19:T19)&amp;"}})","p.update("&amp;M19&amp;")"
)</f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>"{"&amp;""""&amp;B19
&amp;""":{"&amp;""""&amp;C19&amp;""":{"&amp;_xlfn.CONCAT(N19:T19)&amp;"}}}"</f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0"/>
        <v>"type":"anonymous_construct",</v>
      </c>
      <c r="O19" t="str">
        <f t="shared" si="1"/>
        <v>"subtype":"anonymous_construct",</v>
      </c>
      <c r="P19" t="str">
        <f t="shared" si="2"/>
        <v>"indent":0,</v>
      </c>
      <c r="Q19" t="str">
        <f>"""default_value"":"&amp;IF(G19="""""",""""",",IF(LEFT(G19,1)="[",G19,""""&amp;G19&amp;"""")&amp;",")</f>
        <v>"default_value":"",</v>
      </c>
      <c r="R19" t="str">
        <f>"""docs_url"":"&amp;""""&amp;H19&amp;""","</f>
        <v>"docs_url":"https://looker.com/docs/r/lookml/types/manifest/localization_settings?version=7.14&amp;lookml=new",</v>
      </c>
      <c r="S19" t="str">
        <f t="shared" si="3"/>
        <v>"has_allowed_values":False,</v>
      </c>
      <c r="T19" t="str">
        <f t="shared" si="4"/>
        <v>"allowed_values":""</v>
      </c>
    </row>
    <row r="20" spans="1:20" ht="15" customHeight="1" x14ac:dyDescent="0.15">
      <c r="A20" s="7">
        <v>21</v>
      </c>
      <c r="B20" s="6" t="s">
        <v>482</v>
      </c>
      <c r="C20" s="6" t="s">
        <v>114</v>
      </c>
      <c r="D20" s="4" t="s">
        <v>536</v>
      </c>
      <c r="E20" s="4" t="s">
        <v>0</v>
      </c>
      <c r="F20" s="4">
        <v>0</v>
      </c>
      <c r="G20" s="4" t="s">
        <v>592</v>
      </c>
      <c r="H20" s="4" t="s">
        <v>156</v>
      </c>
      <c r="I20" s="4" t="b">
        <v>0</v>
      </c>
      <c r="K20" s="4" t="b">
        <f>IF(COUNTIF($B$2:$B20,B20)&gt;1,TRUE,FALSE)</f>
        <v>0</v>
      </c>
      <c r="L20" t="str">
        <f>IF(
K20,"p["""&amp;B20&amp;"""].update({"&amp;""""&amp;C20&amp;""":{"&amp;_xlfn.CONCAT(N20:T20)&amp;"}})","p.update("&amp;M20&amp;")"
)</f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>"{"&amp;""""&amp;B20
&amp;""":{"&amp;""""&amp;C20&amp;""":{"&amp;_xlfn.CONCAT(N20:T20)&amp;"}}}"</f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0"/>
        <v>"type":"string",</v>
      </c>
      <c r="O20" t="str">
        <f t="shared" si="1"/>
        <v>"subtype":"project-name",</v>
      </c>
      <c r="P20" t="str">
        <f t="shared" si="2"/>
        <v>"indent":0,</v>
      </c>
      <c r="Q20" t="str">
        <f>"""default_value"":"&amp;IF(G20="""""",""""",",IF(LEFT(G20,1)="[",G20,""""&amp;G20&amp;"""")&amp;",")</f>
        <v>"default_value":"",</v>
      </c>
      <c r="R20" t="str">
        <f>"""docs_url"":"&amp;""""&amp;H20&amp;""","</f>
        <v>"docs_url":"https://looker.com/docs/r/lookml/types/manifest/project_name?version=7.14&amp;lookml=new",</v>
      </c>
      <c r="S20" t="str">
        <f t="shared" si="3"/>
        <v>"has_allowed_values":False,</v>
      </c>
      <c r="T20" t="str">
        <f t="shared" si="4"/>
        <v>"allowed_values":""</v>
      </c>
    </row>
    <row r="21" spans="1:20" ht="15" customHeight="1" x14ac:dyDescent="0.15">
      <c r="A21" s="7">
        <v>22</v>
      </c>
      <c r="B21" s="6" t="s">
        <v>483</v>
      </c>
      <c r="C21" s="6" t="s">
        <v>114</v>
      </c>
      <c r="D21" s="4" t="s">
        <v>537</v>
      </c>
      <c r="E21" s="4" t="s">
        <v>599</v>
      </c>
      <c r="F21" s="4">
        <v>0</v>
      </c>
      <c r="H21" s="4" t="s">
        <v>157</v>
      </c>
      <c r="I21" s="4" t="b">
        <v>0</v>
      </c>
      <c r="K21" s="4" t="b">
        <f>IF(COUNTIF($B$2:$B21,B21)&gt;1,TRUE,FALSE)</f>
        <v>0</v>
      </c>
      <c r="L21" t="str">
        <f>IF(
K21,"p["""&amp;B21&amp;"""].update({"&amp;""""&amp;C21&amp;""":{"&amp;_xlfn.CONCAT(N21:T21)&amp;"}})","p.update("&amp;M21&amp;")"
)</f>
        <v>p.update({"constant":{"manifest":{"type":"string_unquoted","subtype":"constant-ref","indent":0,"default_value":"","docs_url":"https://looker.com/docs/r/lookml/types/manifest/constant?version=7.14&amp;lookml=new","has_allowed_values":False,"allowed_values":""}}})</v>
      </c>
      <c r="M21" t="str">
        <f>"{"&amp;""""&amp;B21
&amp;""":{"&amp;""""&amp;C21&amp;""":{"&amp;_xlfn.CONCAT(N21:T21)&amp;"}}}"</f>
        <v>{"constant":{"manifest":{"type":"string_unquoted","subtype":"constant-ref","indent":0,"default_value":"","docs_url":"https://looker.com/docs/r/lookml/types/manifest/constant?version=7.14&amp;lookml=new","has_allowed_values":False,"allowed_values":""}}}</v>
      </c>
      <c r="N21" t="str">
        <f t="shared" si="0"/>
        <v>"type":"string_unquoted",</v>
      </c>
      <c r="O21" t="str">
        <f t="shared" si="1"/>
        <v>"subtype":"constant-ref",</v>
      </c>
      <c r="P21" t="str">
        <f t="shared" si="2"/>
        <v>"indent":0,</v>
      </c>
      <c r="Q21" t="str">
        <f>"""default_value"":"&amp;IF(G21="""""",""""",",IF(LEFT(G21,1)="[",G21,""""&amp;G21&amp;"""")&amp;",")</f>
        <v>"default_value":"",</v>
      </c>
      <c r="R21" t="str">
        <f>"""docs_url"":"&amp;""""&amp;H21&amp;""","</f>
        <v>"docs_url":"https://looker.com/docs/r/lookml/types/manifest/constant?version=7.14&amp;lookml=new",</v>
      </c>
      <c r="S21" t="str">
        <f t="shared" si="3"/>
        <v>"has_allowed_values":False,</v>
      </c>
      <c r="T21" t="str">
        <f t="shared" si="4"/>
        <v>"allowed_values":""</v>
      </c>
    </row>
    <row r="22" spans="1:20" ht="15" customHeight="1" x14ac:dyDescent="0.15">
      <c r="A22" s="7">
        <v>23</v>
      </c>
      <c r="B22" s="6" t="s">
        <v>126</v>
      </c>
      <c r="C22" s="6" t="s">
        <v>114</v>
      </c>
      <c r="D22" s="4" t="s">
        <v>95</v>
      </c>
      <c r="E22" s="4" t="s">
        <v>593</v>
      </c>
      <c r="F22" s="4">
        <v>0</v>
      </c>
      <c r="H22" s="4" t="s">
        <v>158</v>
      </c>
      <c r="I22" s="4" t="b">
        <v>0</v>
      </c>
      <c r="K22" s="4" t="b">
        <f>IF(COUNTIF($B$2:$B22,B22)&gt;1,TRUE,FALSE)</f>
        <v>0</v>
      </c>
      <c r="L22" t="str">
        <f>IF(
K22,"p["""&amp;B22&amp;"""].update({"&amp;""""&amp;C22&amp;""":{"&amp;_xlfn.CONCAT(N22:T22)&amp;"}})","p.update("&amp;M22&amp;")"
)</f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>"{"&amp;""""&amp;B22
&amp;""":{"&amp;""""&amp;C22&amp;""":{"&amp;_xlfn.CONCAT(N22:T22)&amp;"}}}"</f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0"/>
        <v>"type":"named_construct",</v>
      </c>
      <c r="O22" t="str">
        <f t="shared" si="1"/>
        <v>"subtype":"identifier",</v>
      </c>
      <c r="P22" t="str">
        <f t="shared" si="2"/>
        <v>"indent":0,</v>
      </c>
      <c r="Q22" t="str">
        <f>"""default_value"":"&amp;IF(G22="""""",""""",",IF(LEFT(G22,1)="[",G22,""""&amp;G22&amp;"""")&amp;",")</f>
        <v>"default_value":"",</v>
      </c>
      <c r="R22" t="str">
        <f>"""docs_url"":"&amp;""""&amp;H22&amp;""","</f>
        <v>"docs_url":"https://looker.com/docs/r/lookml/types/manifest/application?version=7.14&amp;lookml=new",</v>
      </c>
      <c r="S22" t="str">
        <f t="shared" si="3"/>
        <v>"has_allowed_values":False,</v>
      </c>
      <c r="T22" t="str">
        <f t="shared" si="4"/>
        <v>"allowed_values":""</v>
      </c>
    </row>
    <row r="23" spans="1:20" ht="15" customHeight="1" x14ac:dyDescent="0.15">
      <c r="A23" s="7">
        <v>26</v>
      </c>
      <c r="B23" s="6" t="s">
        <v>12</v>
      </c>
      <c r="C23" s="6" t="s">
        <v>110</v>
      </c>
      <c r="D23" s="4" t="s">
        <v>95</v>
      </c>
      <c r="E23" s="4" t="s">
        <v>593</v>
      </c>
      <c r="F23" s="4">
        <v>1</v>
      </c>
      <c r="H23" s="4" t="s">
        <v>159</v>
      </c>
      <c r="I23" s="4" t="b">
        <v>0</v>
      </c>
      <c r="K23" s="4" t="b">
        <f>IF(COUNTIF($B$2:$B23,B23)&gt;1,TRUE,FALSE)</f>
        <v>0</v>
      </c>
      <c r="L23" t="str">
        <f>IF(
K23,"p["""&amp;B23&amp;"""].update({"&amp;""""&amp;C23&amp;""":{"&amp;_xlfn.CONCAT(N23:T23)&amp;"}})","p.update("&amp;M23&amp;")"
)</f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>"{"&amp;""""&amp;B23
&amp;""":{"&amp;""""&amp;C23&amp;""":{"&amp;_xlfn.CONCAT(N23:T23)&amp;"}}}"</f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0"/>
        <v>"type":"named_construct",</v>
      </c>
      <c r="O23" t="str">
        <f t="shared" si="1"/>
        <v>"subtype":"identifier",</v>
      </c>
      <c r="P23" t="str">
        <f t="shared" si="2"/>
        <v>"indent":1,</v>
      </c>
      <c r="Q23" t="str">
        <f>"""default_value"":"&amp;IF(G23="""""",""""",",IF(LEFT(G23,1)="[",G23,""""&amp;G23&amp;"""")&amp;",")</f>
        <v>"default_value":"",</v>
      </c>
      <c r="R23" t="str">
        <f>"""docs_url"":"&amp;""""&amp;H23&amp;""","</f>
        <v>"docs_url":"https://looker.com/docs/r/lookml/types/view/dimension?version=7.14&amp;lookml=new",</v>
      </c>
      <c r="S23" t="str">
        <f t="shared" si="3"/>
        <v>"has_allowed_values":False,</v>
      </c>
      <c r="T23" t="str">
        <f t="shared" si="4"/>
        <v>"allowed_values":""</v>
      </c>
    </row>
    <row r="24" spans="1:20" ht="15" customHeight="1" x14ac:dyDescent="0.15">
      <c r="A24" s="7">
        <v>27</v>
      </c>
      <c r="B24" s="6" t="s">
        <v>123</v>
      </c>
      <c r="C24" s="6" t="s">
        <v>110</v>
      </c>
      <c r="D24" s="4" t="s">
        <v>95</v>
      </c>
      <c r="E24" s="4" t="s">
        <v>593</v>
      </c>
      <c r="F24" s="4">
        <v>1</v>
      </c>
      <c r="H24" s="4" t="s">
        <v>160</v>
      </c>
      <c r="I24" s="4" t="b">
        <v>0</v>
      </c>
      <c r="K24" s="4" t="b">
        <f>IF(COUNTIF($B$2:$B24,B24)&gt;1,TRUE,FALSE)</f>
        <v>0</v>
      </c>
      <c r="L24" t="str">
        <f>IF(
K24,"p["""&amp;B24&amp;"""].update({"&amp;""""&amp;C24&amp;""":{"&amp;_xlfn.CONCAT(N24:T24)&amp;"}})","p.update("&amp;M24&amp;")"
)</f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>"{"&amp;""""&amp;B24
&amp;""":{"&amp;""""&amp;C24&amp;""":{"&amp;_xlfn.CONCAT(N24:T24)&amp;"}}}"</f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0"/>
        <v>"type":"named_construct",</v>
      </c>
      <c r="O24" t="str">
        <f t="shared" si="1"/>
        <v>"subtype":"identifier",</v>
      </c>
      <c r="P24" t="str">
        <f t="shared" si="2"/>
        <v>"indent":1,</v>
      </c>
      <c r="Q24" t="str">
        <f>"""default_value"":"&amp;IF(G24="""""",""""",",IF(LEFT(G24,1)="[",G24,""""&amp;G24&amp;"""")&amp;",")</f>
        <v>"default_value":"",</v>
      </c>
      <c r="R24" t="str">
        <f>"""docs_url"":"&amp;""""&amp;H24&amp;""","</f>
        <v>"docs_url":"https://looker.com/docs/r/lookml/types/view/dimension_group?version=7.14&amp;lookml=new",</v>
      </c>
      <c r="S24" t="str">
        <f t="shared" si="3"/>
        <v>"has_allowed_values":False,</v>
      </c>
      <c r="T24" t="str">
        <f t="shared" si="4"/>
        <v>"allowed_values":""</v>
      </c>
    </row>
    <row r="25" spans="1:20" ht="15" customHeight="1" x14ac:dyDescent="0.15">
      <c r="A25" s="7">
        <v>28</v>
      </c>
      <c r="B25" s="6" t="s">
        <v>13</v>
      </c>
      <c r="C25" s="6" t="s">
        <v>110</v>
      </c>
      <c r="D25" s="4" t="s">
        <v>17</v>
      </c>
      <c r="E25" s="4" t="s">
        <v>596</v>
      </c>
      <c r="F25" s="4">
        <v>1</v>
      </c>
      <c r="H25" s="4" t="s">
        <v>161</v>
      </c>
      <c r="I25" s="4" t="b">
        <v>0</v>
      </c>
      <c r="K25" s="4" t="b">
        <f>IF(COUNTIF($B$2:$B25,B25)&gt;1,TRUE,FALSE)</f>
        <v>0</v>
      </c>
      <c r="L25" t="str">
        <f>IF(
K25,"p["""&amp;B25&amp;"""].update({"&amp;""""&amp;C25&amp;""":{"&amp;_xlfn.CONCAT(N25:T25)&amp;"}})","p.update("&amp;M25&amp;")"
)</f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>"{"&amp;""""&amp;B25
&amp;""":{"&amp;""""&amp;C25&amp;""":{"&amp;_xlfn.CONCAT(N25:T25)&amp;"}}}"</f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0"/>
        <v>"type":"list_unquoted",</v>
      </c>
      <c r="O25" t="str">
        <f t="shared" si="1"/>
        <v>"subtype":"field-ref",</v>
      </c>
      <c r="P25" t="str">
        <f t="shared" si="2"/>
        <v>"indent":1,</v>
      </c>
      <c r="Q25" t="str">
        <f>"""default_value"":"&amp;IF(G25="""""",""""",",IF(LEFT(G25,1)="[",G25,""""&amp;G25&amp;"""")&amp;",")</f>
        <v>"default_value":"",</v>
      </c>
      <c r="R25" t="str">
        <f>"""docs_url"":"&amp;""""&amp;H25&amp;""","</f>
        <v>"docs_url":"https://looker.com/docs/r/lookml/types/view/drill_fields?version=7.14&amp;lookml=new",</v>
      </c>
      <c r="S25" t="str">
        <f t="shared" si="3"/>
        <v>"has_allowed_values":False,</v>
      </c>
      <c r="T25" t="str">
        <f t="shared" si="4"/>
        <v>"allowed_values":""</v>
      </c>
    </row>
    <row r="26" spans="1:20" ht="15" customHeight="1" x14ac:dyDescent="0.15">
      <c r="A26" s="7">
        <v>29</v>
      </c>
      <c r="B26" s="6" t="s">
        <v>90</v>
      </c>
      <c r="C26" s="6" t="s">
        <v>110</v>
      </c>
      <c r="D26" s="4" t="s">
        <v>101</v>
      </c>
      <c r="E26" s="4" t="s">
        <v>596</v>
      </c>
      <c r="F26" s="4">
        <v>1</v>
      </c>
      <c r="H26" s="4" t="s">
        <v>162</v>
      </c>
      <c r="I26" s="4" t="b">
        <v>0</v>
      </c>
      <c r="K26" s="4" t="b">
        <f>IF(COUNTIF($B$2:$B26,B26)&gt;1,TRUE,FALSE)</f>
        <v>0</v>
      </c>
      <c r="L26" t="str">
        <f>IF(
K26,"p["""&amp;B26&amp;"""].update({"&amp;""""&amp;C26&amp;""":{"&amp;_xlfn.CONCAT(N26:T26)&amp;"}})","p.update("&amp;M26&amp;")"
)</f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>"{"&amp;""""&amp;B26
&amp;""":{"&amp;""""&amp;C26&amp;""":{"&amp;_xlfn.CONCAT(N26:T26)&amp;"}}}"</f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0"/>
        <v>"type":"list_unquoted",</v>
      </c>
      <c r="O26" t="str">
        <f t="shared" si="1"/>
        <v>"subtype":"view-ref",</v>
      </c>
      <c r="P26" t="str">
        <f t="shared" si="2"/>
        <v>"indent":1,</v>
      </c>
      <c r="Q26" t="str">
        <f>"""default_value"":"&amp;IF(G26="""""",""""",",IF(LEFT(G26,1)="[",G26,""""&amp;G26&amp;"""")&amp;",")</f>
        <v>"default_value":"",</v>
      </c>
      <c r="R26" t="str">
        <f>"""docs_url"":"&amp;""""&amp;H26&amp;""","</f>
        <v>"docs_url":"https://looker.com/docs/r/lookml/types/view/extends?version=7.14&amp;lookml=new",</v>
      </c>
      <c r="S26" t="str">
        <f t="shared" si="3"/>
        <v>"has_allowed_values":False,</v>
      </c>
      <c r="T26" t="str">
        <f t="shared" si="4"/>
        <v>"allowed_values":""</v>
      </c>
    </row>
    <row r="27" spans="1:20" ht="15" customHeight="1" x14ac:dyDescent="0.15">
      <c r="A27" s="7">
        <v>30</v>
      </c>
      <c r="B27" s="6" t="s">
        <v>91</v>
      </c>
      <c r="C27" s="6" t="s">
        <v>110</v>
      </c>
      <c r="D27" s="4" t="s">
        <v>551</v>
      </c>
      <c r="E27" s="4" t="s">
        <v>551</v>
      </c>
      <c r="F27" s="4">
        <v>1</v>
      </c>
      <c r="G27" s="4" t="s">
        <v>516</v>
      </c>
      <c r="H27" s="4" t="s">
        <v>163</v>
      </c>
      <c r="I27" s="4" t="b">
        <v>1</v>
      </c>
      <c r="J27" s="4" t="s">
        <v>573</v>
      </c>
      <c r="K27" s="4" t="b">
        <f>IF(COUNTIF($B$2:$B27,B27)&gt;1,TRUE,FALSE)</f>
        <v>0</v>
      </c>
      <c r="L27" t="str">
        <f>IF(
K27,"p["""&amp;B27&amp;"""].update({"&amp;""""&amp;C27&amp;""":{"&amp;_xlfn.CONCAT(N27:T27)&amp;"}})","p.update("&amp;M27&amp;")"
)</f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>"{"&amp;""""&amp;B27
&amp;""":{"&amp;""""&amp;C27&amp;""":{"&amp;_xlfn.CONCAT(N27:T27)&amp;"}}}"</f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0"/>
        <v>"type":"options",</v>
      </c>
      <c r="O27" t="str">
        <f t="shared" si="1"/>
        <v>"subtype":"options",</v>
      </c>
      <c r="P27" t="str">
        <f t="shared" si="2"/>
        <v>"indent":1,</v>
      </c>
      <c r="Q27" t="str">
        <f>"""default_value"":"&amp;IF(G27="""""",""""",",IF(LEFT(G27,1)="[",G27,""""&amp;G27&amp;"""")&amp;",")</f>
        <v>"default_value":"required",</v>
      </c>
      <c r="R27" t="str">
        <f>"""docs_url"":"&amp;""""&amp;H27&amp;""","</f>
        <v>"docs_url":"https://looker.com/docs/r/lookml/types/view/extension?version=7.14&amp;lookml=new",</v>
      </c>
      <c r="S27" t="str">
        <f t="shared" si="3"/>
        <v>"has_allowed_values":True,</v>
      </c>
      <c r="T27" t="str">
        <f t="shared" si="4"/>
        <v>"allowed_values":["required"]</v>
      </c>
    </row>
    <row r="28" spans="1:20" ht="15" customHeight="1" x14ac:dyDescent="0.15">
      <c r="A28" s="7">
        <v>31</v>
      </c>
      <c r="B28" s="6" t="s">
        <v>124</v>
      </c>
      <c r="C28" s="6" t="s">
        <v>110</v>
      </c>
      <c r="D28" s="4" t="s">
        <v>95</v>
      </c>
      <c r="E28" s="4" t="s">
        <v>593</v>
      </c>
      <c r="F28" s="4">
        <v>1</v>
      </c>
      <c r="H28" s="4" t="s">
        <v>164</v>
      </c>
      <c r="I28" s="4" t="b">
        <v>0</v>
      </c>
      <c r="K28" s="4" t="b">
        <f>IF(COUNTIF($B$2:$B28,B28)&gt;1,TRUE,FALSE)</f>
        <v>0</v>
      </c>
      <c r="L28" t="str">
        <f>IF(
K28,"p["""&amp;B28&amp;"""].update({"&amp;""""&amp;C28&amp;""":{"&amp;_xlfn.CONCAT(N28:T28)&amp;"}})","p.update("&amp;M28&amp;")"
)</f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>"{"&amp;""""&amp;B28
&amp;""":{"&amp;""""&amp;C28&amp;""":{"&amp;_xlfn.CONCAT(N28:T28)&amp;"}}}"</f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0"/>
        <v>"type":"named_construct",</v>
      </c>
      <c r="O28" t="str">
        <f t="shared" si="1"/>
        <v>"subtype":"identifier",</v>
      </c>
      <c r="P28" t="str">
        <f t="shared" si="2"/>
        <v>"indent":1,</v>
      </c>
      <c r="Q28" t="str">
        <f>"""default_value"":"&amp;IF(G28="""""",""""",",IF(LEFT(G28,1)="[",G28,""""&amp;G28&amp;"""")&amp;",")</f>
        <v>"default_value":"",</v>
      </c>
      <c r="R28" t="str">
        <f>"""docs_url"":"&amp;""""&amp;H28&amp;""","</f>
        <v>"docs_url":"https://looker.com/docs/r/lookml/types/view/filter?version=7.14&amp;lookml=new",</v>
      </c>
      <c r="S28" t="str">
        <f t="shared" si="3"/>
        <v>"has_allowed_values":False,</v>
      </c>
      <c r="T28" t="str">
        <f t="shared" si="4"/>
        <v>"allowed_values":""</v>
      </c>
    </row>
    <row r="29" spans="1:20" ht="15" customHeight="1" x14ac:dyDescent="0.15">
      <c r="A29" s="7">
        <v>32</v>
      </c>
      <c r="B29" s="6" t="s">
        <v>93</v>
      </c>
      <c r="C29" s="6" t="s">
        <v>110</v>
      </c>
      <c r="D29" s="4" t="s">
        <v>569</v>
      </c>
      <c r="E29" s="4" t="s">
        <v>569</v>
      </c>
      <c r="F29" s="4">
        <v>1</v>
      </c>
      <c r="G29" s="4" t="s">
        <v>604</v>
      </c>
      <c r="H29" s="4" t="s">
        <v>165</v>
      </c>
      <c r="I29" s="4" t="b">
        <v>0</v>
      </c>
      <c r="K29" s="4" t="b">
        <f>IF(COUNTIF($B$2:$B29,B29)&gt;1,TRUE,FALSE)</f>
        <v>0</v>
      </c>
      <c r="L29" t="str">
        <f>IF(
K29,"p["""&amp;B29&amp;"""].update({"&amp;""""&amp;C29&amp;""":{"&amp;_xlfn.CONCAT(N29:T29)&amp;"}})","p.update("&amp;M29&amp;")"
)</f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>"{"&amp;""""&amp;B29
&amp;""":{"&amp;""""&amp;C29&amp;""":{"&amp;_xlfn.CONCAT(N29:T29)&amp;"}}}"</f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0"/>
        <v>"type":"yesno",</v>
      </c>
      <c r="O29" t="str">
        <f t="shared" si="1"/>
        <v>"subtype":"yesno",</v>
      </c>
      <c r="P29" t="str">
        <f t="shared" si="2"/>
        <v>"indent":1,</v>
      </c>
      <c r="Q29" t="str">
        <f>"""default_value"":"&amp;IF(G29="""""",""""",",IF(LEFT(G29,1)="[",G29,""""&amp;G29&amp;"""")&amp;",")</f>
        <v>"default_value":"no",</v>
      </c>
      <c r="R29" t="str">
        <f>"""docs_url"":"&amp;""""&amp;H29&amp;""","</f>
        <v>"docs_url":"https://looker.com/docs/r/lookml/types/view/final?version=7.14&amp;lookml=new",</v>
      </c>
      <c r="S29" t="str">
        <f t="shared" si="3"/>
        <v>"has_allowed_values":False,</v>
      </c>
      <c r="T29" t="str">
        <f t="shared" si="4"/>
        <v>"allowed_values":""</v>
      </c>
    </row>
    <row r="30" spans="1:20" ht="15" customHeight="1" x14ac:dyDescent="0.15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592</v>
      </c>
      <c r="H30" s="4" t="s">
        <v>166</v>
      </c>
      <c r="I30" s="4" t="b">
        <v>0</v>
      </c>
      <c r="K30" s="4" t="b">
        <f>IF(COUNTIF($B$2:$B30,B30)&gt;1,TRUE,FALSE)</f>
        <v>1</v>
      </c>
      <c r="L30" t="str">
        <f>IF(
K30,"p["""&amp;B30&amp;"""].update({"&amp;""""&amp;C30&amp;""":{"&amp;_xlfn.CONCAT(N30:T30)&amp;"}})","p.update("&amp;M30&amp;")"
)</f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>"{"&amp;""""&amp;B30
&amp;""":{"&amp;""""&amp;C30&amp;""":{"&amp;_xlfn.CONCAT(N30:T30)&amp;"}}}"</f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0"/>
        <v>"type":"string",</v>
      </c>
      <c r="O30" t="str">
        <f t="shared" si="1"/>
        <v>"subtype":"possibly-localized-string",</v>
      </c>
      <c r="P30" t="str">
        <f t="shared" si="2"/>
        <v>"indent":1,</v>
      </c>
      <c r="Q30" t="str">
        <f>"""default_value"":"&amp;IF(G30="""""",""""",",IF(LEFT(G30,1)="[",G30,""""&amp;G30&amp;"""")&amp;",")</f>
        <v>"default_value":"",</v>
      </c>
      <c r="R30" t="str">
        <f>"""docs_url"":"&amp;""""&amp;H30&amp;""","</f>
        <v>"docs_url":"https://looker.com/docs/r/lookml/types/view/label?version=7.14&amp;lookml=new",</v>
      </c>
      <c r="S30" t="str">
        <f t="shared" si="3"/>
        <v>"has_allowed_values":False,</v>
      </c>
      <c r="T30" t="str">
        <f t="shared" si="4"/>
        <v>"allowed_values":""</v>
      </c>
    </row>
    <row r="31" spans="1:20" ht="15" customHeight="1" x14ac:dyDescent="0.15">
      <c r="A31" s="7">
        <v>34</v>
      </c>
      <c r="B31" s="6" t="s">
        <v>61</v>
      </c>
      <c r="C31" s="6" t="s">
        <v>110</v>
      </c>
      <c r="D31" s="4" t="s">
        <v>95</v>
      </c>
      <c r="E31" s="4" t="s">
        <v>593</v>
      </c>
      <c r="F31" s="4">
        <v>1</v>
      </c>
      <c r="H31" s="4" t="s">
        <v>167</v>
      </c>
      <c r="I31" s="4" t="b">
        <v>0</v>
      </c>
      <c r="K31" s="4" t="b">
        <f>IF(COUNTIF($B$2:$B31,B31)&gt;1,TRUE,FALSE)</f>
        <v>0</v>
      </c>
      <c r="L31" t="str">
        <f>IF(
K31,"p["""&amp;B31&amp;"""].update({"&amp;""""&amp;C31&amp;""":{"&amp;_xlfn.CONCAT(N31:T31)&amp;"}})","p.update("&amp;M31&amp;")"
)</f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>"{"&amp;""""&amp;B31
&amp;""":{"&amp;""""&amp;C31&amp;""":{"&amp;_xlfn.CONCAT(N31:T31)&amp;"}}}"</f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0"/>
        <v>"type":"named_construct",</v>
      </c>
      <c r="O31" t="str">
        <f t="shared" si="1"/>
        <v>"subtype":"identifier",</v>
      </c>
      <c r="P31" t="str">
        <f t="shared" si="2"/>
        <v>"indent":1,</v>
      </c>
      <c r="Q31" t="str">
        <f>"""default_value"":"&amp;IF(G31="""""",""""",",IF(LEFT(G31,1)="[",G31,""""&amp;G31&amp;"""")&amp;",")</f>
        <v>"default_value":"",</v>
      </c>
      <c r="R31" t="str">
        <f>"""docs_url"":"&amp;""""&amp;H31&amp;""","</f>
        <v>"docs_url":"https://looker.com/docs/r/lookml/types/view/measure?version=7.14&amp;lookml=new",</v>
      </c>
      <c r="S31" t="str">
        <f t="shared" si="3"/>
        <v>"has_allowed_values":False,</v>
      </c>
      <c r="T31" t="str">
        <f t="shared" si="4"/>
        <v>"allowed_values":""</v>
      </c>
    </row>
    <row r="32" spans="1:20" ht="15" customHeight="1" x14ac:dyDescent="0.15">
      <c r="A32" s="7">
        <v>35</v>
      </c>
      <c r="B32" s="6" t="s">
        <v>125</v>
      </c>
      <c r="C32" s="6" t="s">
        <v>110</v>
      </c>
      <c r="D32" s="4" t="s">
        <v>95</v>
      </c>
      <c r="E32" s="4" t="s">
        <v>593</v>
      </c>
      <c r="F32" s="4">
        <v>1</v>
      </c>
      <c r="H32" s="4" t="s">
        <v>168</v>
      </c>
      <c r="I32" s="4" t="b">
        <v>0</v>
      </c>
      <c r="K32" s="4" t="b">
        <f>IF(COUNTIF($B$2:$B32,B32)&gt;1,TRUE,FALSE)</f>
        <v>0</v>
      </c>
      <c r="L32" t="str">
        <f>IF(
K32,"p["""&amp;B32&amp;"""].update({"&amp;""""&amp;C32&amp;""":{"&amp;_xlfn.CONCAT(N32:T32)&amp;"}})","p.update("&amp;M32&amp;")"
)</f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>"{"&amp;""""&amp;B32
&amp;""":{"&amp;""""&amp;C32&amp;""":{"&amp;_xlfn.CONCAT(N32:T32)&amp;"}}}"</f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0"/>
        <v>"type":"named_construct",</v>
      </c>
      <c r="O32" t="str">
        <f t="shared" si="1"/>
        <v>"subtype":"identifier",</v>
      </c>
      <c r="P32" t="str">
        <f t="shared" si="2"/>
        <v>"indent":1,</v>
      </c>
      <c r="Q32" t="str">
        <f>"""default_value"":"&amp;IF(G32="""""",""""",",IF(LEFT(G32,1)="[",G32,""""&amp;G32&amp;"""")&amp;",")</f>
        <v>"default_value":"",</v>
      </c>
      <c r="R32" t="str">
        <f>"""docs_url"":"&amp;""""&amp;H32&amp;""","</f>
        <v>"docs_url":"https://looker.com/docs/r/lookml/types/view/parameter?version=7.14&amp;lookml=new",</v>
      </c>
      <c r="S32" t="str">
        <f t="shared" si="3"/>
        <v>"has_allowed_values":False,</v>
      </c>
      <c r="T32" t="str">
        <f t="shared" si="4"/>
        <v>"allowed_values":""</v>
      </c>
    </row>
    <row r="33" spans="1:20" ht="15" customHeight="1" x14ac:dyDescent="0.15">
      <c r="A33" s="7">
        <v>36</v>
      </c>
      <c r="B33" s="6" t="s">
        <v>70</v>
      </c>
      <c r="C33" s="6" t="s">
        <v>110</v>
      </c>
      <c r="D33" s="4" t="s">
        <v>540</v>
      </c>
      <c r="E33" s="4" t="s">
        <v>540</v>
      </c>
      <c r="F33" s="4">
        <v>1</v>
      </c>
      <c r="H33" s="4" t="s">
        <v>169</v>
      </c>
      <c r="I33" s="4" t="b">
        <v>0</v>
      </c>
      <c r="K33" s="4" t="b">
        <f>IF(COUNTIF($B$2:$B33,B33)&gt;1,TRUE,FALSE)</f>
        <v>0</v>
      </c>
      <c r="L33" t="str">
        <f>IF(
K33,"p["""&amp;B33&amp;"""].update({"&amp;""""&amp;C33&amp;""":{"&amp;_xlfn.CONCAT(N33:T33)&amp;"}})","p.update("&amp;M33&amp;")"
)</f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>"{"&amp;""""&amp;B33
&amp;""":{"&amp;""""&amp;C33&amp;""":{"&amp;_xlfn.CONCAT(N33:T33)&amp;"}}}"</f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0"/>
        <v>"type":"anonymous_construct",</v>
      </c>
      <c r="O33" t="str">
        <f t="shared" si="1"/>
        <v>"subtype":"anonymous_construct",</v>
      </c>
      <c r="P33" t="str">
        <f t="shared" si="2"/>
        <v>"indent":1,</v>
      </c>
      <c r="Q33" t="str">
        <f>"""default_value"":"&amp;IF(G33="""""",""""",",IF(LEFT(G33,1)="[",G33,""""&amp;G33&amp;"""")&amp;",")</f>
        <v>"default_value":"",</v>
      </c>
      <c r="R33" t="str">
        <f>"""docs_url"":"&amp;""""&amp;H33&amp;""","</f>
        <v>"docs_url":"https://looker.com/docs/r/lookml/types/view/derived_table?version=7.14&amp;lookml=new",</v>
      </c>
      <c r="S33" t="str">
        <f t="shared" si="3"/>
        <v>"has_allowed_values":False,</v>
      </c>
      <c r="T33" t="str">
        <f t="shared" si="4"/>
        <v>"allowed_values":""</v>
      </c>
    </row>
    <row r="34" spans="1:20" ht="15" customHeight="1" x14ac:dyDescent="0.15">
      <c r="A34" s="7">
        <v>37</v>
      </c>
      <c r="B34" s="6" t="s">
        <v>31</v>
      </c>
      <c r="C34" s="6" t="s">
        <v>110</v>
      </c>
      <c r="D34" s="4" t="s">
        <v>612</v>
      </c>
      <c r="E34" s="4" t="s">
        <v>596</v>
      </c>
      <c r="F34" s="4">
        <v>1</v>
      </c>
      <c r="H34" s="4" t="s">
        <v>170</v>
      </c>
      <c r="I34" s="4" t="b">
        <v>0</v>
      </c>
      <c r="K34" s="4" t="b">
        <f>IF(COUNTIF($B$2:$B34,B34)&gt;1,TRUE,FALSE)</f>
        <v>0</v>
      </c>
      <c r="L34" t="str">
        <f>IF(
K34,"p["""&amp;B34&amp;"""].update({"&amp;""""&amp;C34&amp;""":{"&amp;_xlfn.CONCAT(N34:T34)&amp;"}})","p.update("&amp;M34&amp;")"
)</f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>"{"&amp;""""&amp;B34
&amp;""":{"&amp;""""&amp;C34&amp;""":{"&amp;_xlfn.CONCAT(N34:T34)&amp;"}}}"</f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0"/>
        <v>"type":"list_unquoted",</v>
      </c>
      <c r="O34" t="str">
        <f t="shared" si="1"/>
        <v>"subtype":"access-grant-ref",</v>
      </c>
      <c r="P34" t="str">
        <f t="shared" si="2"/>
        <v>"indent":1,</v>
      </c>
      <c r="Q34" t="str">
        <f>"""default_value"":"&amp;IF(G34="""""",""""",",IF(LEFT(G34,1)="[",G34,""""&amp;G34&amp;"""")&amp;",")</f>
        <v>"default_value":"",</v>
      </c>
      <c r="R34" t="str">
        <f>"""docs_url"":"&amp;""""&amp;H34&amp;""","</f>
        <v>"docs_url":"https://looker.com/docs/r/lookml/types/view/required_access_grants?version=7.14&amp;lookml=new",</v>
      </c>
      <c r="S34" t="str">
        <f t="shared" si="3"/>
        <v>"has_allowed_values":False,</v>
      </c>
      <c r="T34" t="str">
        <f t="shared" si="4"/>
        <v>"allowed_values":""</v>
      </c>
    </row>
    <row r="35" spans="1:20" ht="15" customHeight="1" x14ac:dyDescent="0.15">
      <c r="A35" s="7">
        <v>38</v>
      </c>
      <c r="B35" s="6" t="s">
        <v>137</v>
      </c>
      <c r="C35" s="6" t="s">
        <v>110</v>
      </c>
      <c r="D35" s="4" t="s">
        <v>95</v>
      </c>
      <c r="E35" s="4" t="s">
        <v>593</v>
      </c>
      <c r="F35" s="4">
        <v>1</v>
      </c>
      <c r="H35" s="4" t="s">
        <v>171</v>
      </c>
      <c r="I35" s="4" t="b">
        <v>0</v>
      </c>
      <c r="K35" s="4" t="b">
        <f>IF(COUNTIF($B$2:$B35,B35)&gt;1,TRUE,FALSE)</f>
        <v>0</v>
      </c>
      <c r="L35" t="str">
        <f>IF(
K35,"p["""&amp;B35&amp;"""].update({"&amp;""""&amp;C35&amp;""":{"&amp;_xlfn.CONCAT(N35:T35)&amp;"}})","p.update("&amp;M35&amp;")"
)</f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>"{"&amp;""""&amp;B35
&amp;""":{"&amp;""""&amp;C35&amp;""":{"&amp;_xlfn.CONCAT(N35:T35)&amp;"}}}"</f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0"/>
        <v>"type":"named_construct",</v>
      </c>
      <c r="O35" t="str">
        <f t="shared" si="1"/>
        <v>"subtype":"identifier",</v>
      </c>
      <c r="P35" t="str">
        <f t="shared" si="2"/>
        <v>"indent":1,</v>
      </c>
      <c r="Q35" t="str">
        <f>"""default_value"":"&amp;IF(G35="""""",""""",",IF(LEFT(G35,1)="[",G35,""""&amp;G35&amp;"""")&amp;",")</f>
        <v>"default_value":"",</v>
      </c>
      <c r="R35" t="str">
        <f>"""docs_url"":"&amp;""""&amp;H35&amp;""","</f>
        <v>"docs_url":"https://looker.com/docs/r/lookml/types/view/set?version=7.14&amp;lookml=new",</v>
      </c>
      <c r="S35" t="str">
        <f t="shared" si="3"/>
        <v>"has_allowed_values":False,</v>
      </c>
      <c r="T35" t="str">
        <f t="shared" si="4"/>
        <v>"allowed_values":""</v>
      </c>
    </row>
    <row r="36" spans="1:20" ht="15" customHeight="1" x14ac:dyDescent="0.15">
      <c r="A36" s="7">
        <v>39</v>
      </c>
      <c r="B36" s="6" t="s">
        <v>100</v>
      </c>
      <c r="C36" s="6" t="s">
        <v>110</v>
      </c>
      <c r="D36" s="4" t="s">
        <v>613</v>
      </c>
      <c r="E36" s="4" t="s">
        <v>34</v>
      </c>
      <c r="F36" s="4">
        <v>1</v>
      </c>
      <c r="G36" s="4" t="s">
        <v>592</v>
      </c>
      <c r="H36" s="4" t="s">
        <v>172</v>
      </c>
      <c r="I36" s="4" t="b">
        <v>0</v>
      </c>
      <c r="K36" s="4" t="b">
        <f>IF(COUNTIF($B$2:$B36,B36)&gt;1,TRUE,FALSE)</f>
        <v>0</v>
      </c>
      <c r="L36" t="str">
        <f>IF(
K36,"p["""&amp;B36&amp;"""].update({"&amp;""""&amp;C36&amp;""":{"&amp;_xlfn.CONCAT(N36:T36)&amp;"}})","p.update("&amp;M36&amp;")"
)</f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>"{"&amp;""""&amp;B36
&amp;""":{"&amp;""""&amp;C36&amp;""":{"&amp;_xlfn.CONCAT(N36:T36)&amp;"}}}"</f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0"/>
        <v>"type":"sql",</v>
      </c>
      <c r="O36" t="str">
        <f t="shared" si="1"/>
        <v>"subtype":"sql-block ",</v>
      </c>
      <c r="P36" t="str">
        <f t="shared" si="2"/>
        <v>"indent":1,</v>
      </c>
      <c r="Q36" t="str">
        <f>"""default_value"":"&amp;IF(G36="""""",""""",",IF(LEFT(G36,1)="[",G36,""""&amp;G36&amp;"""")&amp;",")</f>
        <v>"default_value":"",</v>
      </c>
      <c r="R36" t="str">
        <f>"""docs_url"":"&amp;""""&amp;H36&amp;""","</f>
        <v>"docs_url":"https://looker.com/docs/r/lookml/types/view/sql_table_name?version=7.14&amp;lookml=new",</v>
      </c>
      <c r="S36" t="str">
        <f t="shared" si="3"/>
        <v>"has_allowed_values":False,</v>
      </c>
      <c r="T36" t="str">
        <f t="shared" si="4"/>
        <v>"allowed_values":""</v>
      </c>
    </row>
    <row r="37" spans="1:20" ht="15" customHeight="1" x14ac:dyDescent="0.15">
      <c r="A37" s="7">
        <v>40</v>
      </c>
      <c r="B37" s="6" t="s">
        <v>46</v>
      </c>
      <c r="C37" s="6" t="s">
        <v>110</v>
      </c>
      <c r="D37" s="4" t="s">
        <v>569</v>
      </c>
      <c r="E37" s="4" t="s">
        <v>569</v>
      </c>
      <c r="F37" s="4">
        <v>1</v>
      </c>
      <c r="G37" s="4" t="s">
        <v>605</v>
      </c>
      <c r="H37" s="4" t="s">
        <v>173</v>
      </c>
      <c r="I37" s="4" t="b">
        <v>0</v>
      </c>
      <c r="K37" s="4" t="b">
        <f>IF(COUNTIF($B$2:$B37,B37)&gt;1,TRUE,FALSE)</f>
        <v>0</v>
      </c>
      <c r="L37" t="str">
        <f>IF(
K37,"p["""&amp;B37&amp;"""].update({"&amp;""""&amp;C37&amp;""":{"&amp;_xlfn.CONCAT(N37:T37)&amp;"}})","p.update("&amp;M37&amp;")"
)</f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>"{"&amp;""""&amp;B37
&amp;""":{"&amp;""""&amp;C37&amp;""":{"&amp;_xlfn.CONCAT(N37:T37)&amp;"}}}"</f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0"/>
        <v>"type":"yesno",</v>
      </c>
      <c r="O37" t="str">
        <f t="shared" si="1"/>
        <v>"subtype":"yesno",</v>
      </c>
      <c r="P37" t="str">
        <f t="shared" si="2"/>
        <v>"indent":1,</v>
      </c>
      <c r="Q37" t="str">
        <f>"""default_value"":"&amp;IF(G37="""""",""""",",IF(LEFT(G37,1)="[",G37,""""&amp;G37&amp;"""")&amp;",")</f>
        <v>"default_value":"yes",</v>
      </c>
      <c r="R37" t="str">
        <f>"""docs_url"":"&amp;""""&amp;H37&amp;""","</f>
        <v>"docs_url":"https://looker.com/docs/r/lookml/types/view/suggestions?version=7.14&amp;lookml=new",</v>
      </c>
      <c r="S37" t="str">
        <f t="shared" si="3"/>
        <v>"has_allowed_values":False,</v>
      </c>
      <c r="T37" t="str">
        <f t="shared" si="4"/>
        <v>"allowed_values":""</v>
      </c>
    </row>
    <row r="38" spans="1:20" ht="15" customHeight="1" x14ac:dyDescent="0.15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592</v>
      </c>
      <c r="H38" s="4" t="s">
        <v>174</v>
      </c>
      <c r="I38" s="4" t="b">
        <v>0</v>
      </c>
      <c r="K38" s="4" t="b">
        <f>IF(COUNTIF($B$2:$B38,B38)&gt;1,TRUE,FALSE)</f>
        <v>0</v>
      </c>
      <c r="L38" t="str">
        <f>IF(
K38,"p["""&amp;B38&amp;"""].update({"&amp;""""&amp;C38&amp;""":{"&amp;_xlfn.CONCAT(N38:T38)&amp;"}})","p.update("&amp;M38&amp;")"
)</f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>"{"&amp;""""&amp;B38
&amp;""":{"&amp;""""&amp;C38&amp;""":{"&amp;_xlfn.CONCAT(N38:T38)&amp;"}}}"</f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0"/>
        <v>"type":"string",</v>
      </c>
      <c r="O38" t="str">
        <f t="shared" si="1"/>
        <v>"subtype":"possibly-localized-string",</v>
      </c>
      <c r="P38" t="str">
        <f t="shared" si="2"/>
        <v>"indent":1,</v>
      </c>
      <c r="Q38" t="str">
        <f>"""default_value"":"&amp;IF(G38="""""",""""",",IF(LEFT(G38,1)="[",G38,""""&amp;G38&amp;"""")&amp;",")</f>
        <v>"default_value":"",</v>
      </c>
      <c r="R38" t="str">
        <f>"""docs_url"":"&amp;""""&amp;H38&amp;""","</f>
        <v>"docs_url":"https://looker.com/docs/r/lookml/types/view/view_label?version=7.14&amp;lookml=new",</v>
      </c>
      <c r="S38" t="str">
        <f t="shared" si="3"/>
        <v>"has_allowed_values":False,</v>
      </c>
      <c r="T38" t="str">
        <f t="shared" si="4"/>
        <v>"allowed_values":""</v>
      </c>
    </row>
    <row r="39" spans="1:20" ht="15" customHeight="1" x14ac:dyDescent="0.15">
      <c r="A39" s="7">
        <v>44</v>
      </c>
      <c r="B39" s="6" t="s">
        <v>83</v>
      </c>
      <c r="C39" s="6" t="s">
        <v>89</v>
      </c>
      <c r="D39" s="4" t="s">
        <v>541</v>
      </c>
      <c r="E39" s="4" t="s">
        <v>541</v>
      </c>
      <c r="F39" s="4">
        <v>1</v>
      </c>
      <c r="H39" s="4" t="s">
        <v>175</v>
      </c>
      <c r="I39" s="4" t="b">
        <v>0</v>
      </c>
      <c r="K39" s="4" t="b">
        <f>IF(COUNTIF($B$2:$B39,B39)&gt;1,TRUE,FALSE)</f>
        <v>0</v>
      </c>
      <c r="L39" t="str">
        <f>IF(
K39,"p["""&amp;B39&amp;"""].update({"&amp;""""&amp;C39&amp;""":{"&amp;_xlfn.CONCAT(N39:T39)&amp;"}})","p.update("&amp;M39&amp;")"
)</f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>"{"&amp;""""&amp;B39
&amp;""":{"&amp;""""&amp;C39&amp;""":{"&amp;_xlfn.CONCAT(N39:T39)&amp;"}}}"</f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0"/>
        <v>"type":"anonymous_construct_plural",</v>
      </c>
      <c r="O39" t="str">
        <f t="shared" si="1"/>
        <v>"subtype":"anonymous_construct_plural",</v>
      </c>
      <c r="P39" t="str">
        <f t="shared" si="2"/>
        <v>"indent":1,</v>
      </c>
      <c r="Q39" t="str">
        <f>"""default_value"":"&amp;IF(G39="""""",""""",",IF(LEFT(G39,1)="[",G39,""""&amp;G39&amp;"""")&amp;",")</f>
        <v>"default_value":"",</v>
      </c>
      <c r="R39" t="str">
        <f>"""docs_url"":"&amp;""""&amp;H39&amp;""","</f>
        <v>"docs_url":"https://looker.com/docs/r/lookml/types/explore/access_filter?version=7.14&amp;lookml=new",</v>
      </c>
      <c r="S39" t="str">
        <f t="shared" si="3"/>
        <v>"has_allowed_values":False,</v>
      </c>
      <c r="T39" t="str">
        <f t="shared" si="4"/>
        <v>"allowed_values":""</v>
      </c>
    </row>
    <row r="40" spans="1:20" ht="15" customHeight="1" x14ac:dyDescent="0.15">
      <c r="A40" s="7">
        <v>45</v>
      </c>
      <c r="B40" s="6" t="s">
        <v>84</v>
      </c>
      <c r="C40" s="6" t="s">
        <v>89</v>
      </c>
      <c r="D40" s="4" t="s">
        <v>95</v>
      </c>
      <c r="E40" s="4" t="s">
        <v>593</v>
      </c>
      <c r="F40" s="4">
        <v>1</v>
      </c>
      <c r="H40" s="4" t="s">
        <v>176</v>
      </c>
      <c r="I40" s="4" t="b">
        <v>0</v>
      </c>
      <c r="K40" s="4" t="b">
        <f>IF(COUNTIF($B$2:$B40,B40)&gt;1,TRUE,FALSE)</f>
        <v>0</v>
      </c>
      <c r="L40" t="str">
        <f>IF(
K40,"p["""&amp;B40&amp;"""].update({"&amp;""""&amp;C40&amp;""":{"&amp;_xlfn.CONCAT(N40:T40)&amp;"}})","p.update("&amp;M40&amp;")"
)</f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>"{"&amp;""""&amp;B40
&amp;""":{"&amp;""""&amp;C40&amp;""":{"&amp;_xlfn.CONCAT(N40:T40)&amp;"}}}"</f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0"/>
        <v>"type":"named_construct",</v>
      </c>
      <c r="O40" t="str">
        <f t="shared" si="1"/>
        <v>"subtype":"identifier",</v>
      </c>
      <c r="P40" t="str">
        <f t="shared" si="2"/>
        <v>"indent":1,</v>
      </c>
      <c r="Q40" t="str">
        <f>"""default_value"":"&amp;IF(G40="""""",""""",",IF(LEFT(G40,1)="[",G40,""""&amp;G40&amp;"""")&amp;",")</f>
        <v>"default_value":"",</v>
      </c>
      <c r="R40" t="str">
        <f>"""docs_url"":"&amp;""""&amp;H40&amp;""","</f>
        <v>"docs_url":"https://looker.com/docs/r/lookml/types/explore/aggregate_table?version=7.14&amp;lookml=new",</v>
      </c>
      <c r="S40" t="str">
        <f t="shared" si="3"/>
        <v>"has_allowed_values":False,</v>
      </c>
      <c r="T40" t="str">
        <f t="shared" si="4"/>
        <v>"allowed_values":""</v>
      </c>
    </row>
    <row r="41" spans="1:20" ht="15" customHeight="1" x14ac:dyDescent="0.15">
      <c r="A41" s="7">
        <v>46</v>
      </c>
      <c r="B41" s="6" t="s">
        <v>85</v>
      </c>
      <c r="C41" s="6" t="s">
        <v>89</v>
      </c>
      <c r="D41" s="4" t="s">
        <v>541</v>
      </c>
      <c r="E41" s="4" t="s">
        <v>541</v>
      </c>
      <c r="F41" s="4">
        <v>1</v>
      </c>
      <c r="H41" s="4" t="s">
        <v>177</v>
      </c>
      <c r="I41" s="4" t="b">
        <v>0</v>
      </c>
      <c r="K41" s="4" t="b">
        <f>IF(COUNTIF($B$2:$B41,B41)&gt;1,TRUE,FALSE)</f>
        <v>0</v>
      </c>
      <c r="L41" t="str">
        <f>IF(
K41,"p["""&amp;B41&amp;"""].update({"&amp;""""&amp;C41&amp;""":{"&amp;_xlfn.CONCAT(N41:T41)&amp;"}})","p.update("&amp;M41&amp;")"
)</f>
        <v>p.update(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)</v>
      </c>
      <c r="M41" t="str">
        <f>"{"&amp;""""&amp;B41
&amp;""":{"&amp;""""&amp;C41&amp;""":{"&amp;_xlfn.CONCAT(N41:T41)&amp;"}}}"</f>
        <v>{"always_filter":{"explore":{"type":"anonymous_construct_plural","subtype":"anonymous_construct_plural","indent":1,"default_value":"","docs_url":"https://looker.com/docs/r/lookml/types/explore/always_filter?version=7.14&amp;lookml=new","has_allowed_values":False,"allowed_values":""}}}</v>
      </c>
      <c r="N41" t="str">
        <f t="shared" si="0"/>
        <v>"type":"anonymous_construct_plural",</v>
      </c>
      <c r="O41" t="str">
        <f t="shared" si="1"/>
        <v>"subtype":"anonymous_construct_plural",</v>
      </c>
      <c r="P41" t="str">
        <f t="shared" si="2"/>
        <v>"indent":1,</v>
      </c>
      <c r="Q41" t="str">
        <f>"""default_value"":"&amp;IF(G41="""""",""""",",IF(LEFT(G41,1)="[",G41,""""&amp;G41&amp;"""")&amp;",")</f>
        <v>"default_value":"",</v>
      </c>
      <c r="R41" t="str">
        <f>"""docs_url"":"&amp;""""&amp;H41&amp;""","</f>
        <v>"docs_url":"https://looker.com/docs/r/lookml/types/explore/always_filter?version=7.14&amp;lookml=new",</v>
      </c>
      <c r="S41" t="str">
        <f t="shared" si="3"/>
        <v>"has_allowed_values":False,</v>
      </c>
      <c r="T41" t="str">
        <f t="shared" si="4"/>
        <v>"allowed_values":""</v>
      </c>
    </row>
    <row r="42" spans="1:20" ht="15" customHeight="1" x14ac:dyDescent="0.15">
      <c r="A42" s="7">
        <v>47</v>
      </c>
      <c r="B42" s="6" t="s">
        <v>86</v>
      </c>
      <c r="C42" s="6" t="s">
        <v>89</v>
      </c>
      <c r="D42" s="4" t="s">
        <v>101</v>
      </c>
      <c r="E42" s="4" t="s">
        <v>596</v>
      </c>
      <c r="F42" s="4">
        <v>1</v>
      </c>
      <c r="H42" s="4" t="s">
        <v>178</v>
      </c>
      <c r="I42" s="4" t="b">
        <v>0</v>
      </c>
      <c r="K42" s="4" t="b">
        <f>IF(COUNTIF($B$2:$B42,B42)&gt;1,TRUE,FALSE)</f>
        <v>0</v>
      </c>
      <c r="L42" t="str">
        <f>IF(
K42,"p["""&amp;B42&amp;"""].update({"&amp;""""&amp;C42&amp;""":{"&amp;_xlfn.CONCAT(N42:T42)&amp;"}})","p.update("&amp;M42&amp;")"
)</f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>"{"&amp;""""&amp;B42
&amp;""":{"&amp;""""&amp;C42&amp;""":{"&amp;_xlfn.CONCAT(N42:T42)&amp;"}}}"</f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0"/>
        <v>"type":"list_unquoted",</v>
      </c>
      <c r="O42" t="str">
        <f t="shared" si="1"/>
        <v>"subtype":"view-ref",</v>
      </c>
      <c r="P42" t="str">
        <f t="shared" si="2"/>
        <v>"indent":1,</v>
      </c>
      <c r="Q42" t="str">
        <f>"""default_value"":"&amp;IF(G42="""""",""""",",IF(LEFT(G42,1)="[",G42,""""&amp;G42&amp;"""")&amp;",")</f>
        <v>"default_value":"",</v>
      </c>
      <c r="R42" t="str">
        <f>"""docs_url"":"&amp;""""&amp;H42&amp;""","</f>
        <v>"docs_url":"https://looker.com/docs/r/lookml/types/explore/always_join?version=7.14&amp;lookml=new",</v>
      </c>
      <c r="S42" t="str">
        <f t="shared" si="3"/>
        <v>"has_allowed_values":False,</v>
      </c>
      <c r="T42" t="str">
        <f t="shared" si="4"/>
        <v>"allowed_values":""</v>
      </c>
    </row>
    <row r="43" spans="1:20" ht="15" customHeight="1" x14ac:dyDescent="0.15">
      <c r="A43" s="7">
        <v>48</v>
      </c>
      <c r="B43" s="6" t="s">
        <v>87</v>
      </c>
      <c r="C43" s="6" t="s">
        <v>89</v>
      </c>
      <c r="D43" s="4" t="s">
        <v>17</v>
      </c>
      <c r="E43" s="4" t="s">
        <v>596</v>
      </c>
      <c r="F43" s="4">
        <v>1</v>
      </c>
      <c r="H43" s="4" t="s">
        <v>179</v>
      </c>
      <c r="I43" s="4" t="b">
        <v>0</v>
      </c>
      <c r="K43" s="4" t="b">
        <f>IF(COUNTIF($B$2:$B43,B43)&gt;1,TRUE,FALSE)</f>
        <v>0</v>
      </c>
      <c r="L43" t="str">
        <f>IF(
K43,"p["""&amp;B43&amp;"""].update({"&amp;""""&amp;C43&amp;""":{"&amp;_xlfn.CONCAT(N43:T43)&amp;"}})","p.update("&amp;M43&amp;")"
)</f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>"{"&amp;""""&amp;B43
&amp;""":{"&amp;""""&amp;C43&amp;""":{"&amp;_xlfn.CONCAT(N43:T43)&amp;"}}}"</f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0"/>
        <v>"type":"list_unquoted",</v>
      </c>
      <c r="O43" t="str">
        <f t="shared" si="1"/>
        <v>"subtype":"field-ref",</v>
      </c>
      <c r="P43" t="str">
        <f t="shared" si="2"/>
        <v>"indent":1,</v>
      </c>
      <c r="Q43" t="str">
        <f>"""default_value"":"&amp;IF(G43="""""",""""",",IF(LEFT(G43,1)="[",G43,""""&amp;G43&amp;"""")&amp;",")</f>
        <v>"default_value":"",</v>
      </c>
      <c r="R43" t="str">
        <f>"""docs_url"":"&amp;""""&amp;H43&amp;""","</f>
        <v>"docs_url":"https://looker.com/docs/r/lookml/types/explore/cancel_grouping_fields?version=7.14&amp;lookml=new",</v>
      </c>
      <c r="S43" t="str">
        <f t="shared" si="3"/>
        <v>"has_allowed_values":False,</v>
      </c>
      <c r="T43" t="str">
        <f t="shared" si="4"/>
        <v>"allowed_values":""</v>
      </c>
    </row>
    <row r="44" spans="1:20" ht="15" customHeight="1" x14ac:dyDescent="0.15">
      <c r="A44" s="7">
        <v>49</v>
      </c>
      <c r="B44" s="6" t="s">
        <v>88</v>
      </c>
      <c r="C44" s="6" t="s">
        <v>89</v>
      </c>
      <c r="D44" s="4" t="s">
        <v>541</v>
      </c>
      <c r="E44" s="4" t="s">
        <v>541</v>
      </c>
      <c r="F44" s="4">
        <v>1</v>
      </c>
      <c r="H44" s="4" t="s">
        <v>180</v>
      </c>
      <c r="I44" s="4" t="b">
        <v>0</v>
      </c>
      <c r="K44" s="4" t="b">
        <f>IF(COUNTIF($B$2:$B44,B44)&gt;1,TRUE,FALSE)</f>
        <v>0</v>
      </c>
      <c r="L44" t="str">
        <f>IF(
K44,"p["""&amp;B44&amp;"""].update({"&amp;""""&amp;C44&amp;""":{"&amp;_xlfn.CONCAT(N44:T44)&amp;"}})","p.update("&amp;M44&amp;")"
)</f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>"{"&amp;""""&amp;B44
&amp;""":{"&amp;""""&amp;C44&amp;""":{"&amp;_xlfn.CONCAT(N44:T44)&amp;"}}}"</f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0"/>
        <v>"type":"anonymous_construct_plural",</v>
      </c>
      <c r="O44" t="str">
        <f t="shared" si="1"/>
        <v>"subtype":"anonymous_construct_plural",</v>
      </c>
      <c r="P44" t="str">
        <f t="shared" si="2"/>
        <v>"indent":1,</v>
      </c>
      <c r="Q44" t="str">
        <f>"""default_value"":"&amp;IF(G44="""""",""""",",IF(LEFT(G44,1)="[",G44,""""&amp;G44&amp;"""")&amp;",")</f>
        <v>"default_value":"",</v>
      </c>
      <c r="R44" t="str">
        <f>"""docs_url"":"&amp;""""&amp;H44&amp;""","</f>
        <v>"docs_url":"https://looker.com/docs/r/lookml/types/explore/conditionally_filter?version=7.14&amp;lookml=new",</v>
      </c>
      <c r="S44" t="str">
        <f t="shared" si="3"/>
        <v>"has_allowed_values":False,</v>
      </c>
      <c r="T44" t="str">
        <f t="shared" si="4"/>
        <v>"allowed_values":""</v>
      </c>
    </row>
    <row r="45" spans="1:20" ht="15" customHeight="1" x14ac:dyDescent="0.15">
      <c r="A45" s="7">
        <v>50</v>
      </c>
      <c r="B45" s="6" t="s">
        <v>8</v>
      </c>
      <c r="C45" s="6" t="s">
        <v>89</v>
      </c>
      <c r="D45" s="4" t="s">
        <v>569</v>
      </c>
      <c r="E45" s="4" t="s">
        <v>569</v>
      </c>
      <c r="F45" s="4">
        <v>1</v>
      </c>
      <c r="G45" s="4" t="s">
        <v>605</v>
      </c>
      <c r="H45" s="4" t="s">
        <v>181</v>
      </c>
      <c r="I45" s="4" t="b">
        <v>0</v>
      </c>
      <c r="K45" s="4" t="b">
        <f>IF(COUNTIF($B$2:$B45,B45)&gt;1,TRUE,FALSE)</f>
        <v>1</v>
      </c>
      <c r="L45" t="str">
        <f>IF(
K45,"p["""&amp;B45&amp;"""].update({"&amp;""""&amp;C45&amp;""":{"&amp;_xlfn.CONCAT(N45:T45)&amp;"}})","p.update("&amp;M45&amp;")"
)</f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>"{"&amp;""""&amp;B45
&amp;""":{"&amp;""""&amp;C45&amp;""":{"&amp;_xlfn.CONCAT(N45:T45)&amp;"}}}"</f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0"/>
        <v>"type":"yesno",</v>
      </c>
      <c r="O45" t="str">
        <f t="shared" si="1"/>
        <v>"subtype":"yesno",</v>
      </c>
      <c r="P45" t="str">
        <f t="shared" si="2"/>
        <v>"indent":1,</v>
      </c>
      <c r="Q45" t="str">
        <f>"""default_value"":"&amp;IF(G45="""""",""""",",IF(LEFT(G45,1)="[",G45,""""&amp;G45&amp;"""")&amp;",")</f>
        <v>"default_value":"yes",</v>
      </c>
      <c r="R45" t="str">
        <f>"""docs_url"":"&amp;""""&amp;H45&amp;""","</f>
        <v>"docs_url":"https://looker.com/docs/r/lookml/types/explore/case_sensitive?version=7.14&amp;lookml=new",</v>
      </c>
      <c r="S45" t="str">
        <f t="shared" si="3"/>
        <v>"has_allowed_values":False,</v>
      </c>
      <c r="T45" t="str">
        <f t="shared" si="4"/>
        <v>"allowed_values":""</v>
      </c>
    </row>
    <row r="46" spans="1:20" ht="15" customHeight="1" x14ac:dyDescent="0.15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592</v>
      </c>
      <c r="H46" s="4" t="s">
        <v>182</v>
      </c>
      <c r="I46" s="4" t="b">
        <v>0</v>
      </c>
      <c r="K46" s="4" t="b">
        <f>IF(COUNTIF($B$2:$B46,B46)&gt;1,TRUE,FALSE)</f>
        <v>0</v>
      </c>
      <c r="L46" t="str">
        <f>IF(
K46,"p["""&amp;B46&amp;"""].update({"&amp;""""&amp;C46&amp;""":{"&amp;_xlfn.CONCAT(N46:T46)&amp;"}})","p.update("&amp;M46&amp;")"
)</f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>"{"&amp;""""&amp;B46
&amp;""":{"&amp;""""&amp;C46&amp;""":{"&amp;_xlfn.CONCAT(N46:T46)&amp;"}}}"</f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0"/>
        <v>"type":"string",</v>
      </c>
      <c r="O46" t="str">
        <f t="shared" si="1"/>
        <v>"subtype":"possibly-localized-string",</v>
      </c>
      <c r="P46" t="str">
        <f t="shared" si="2"/>
        <v>"indent":1,</v>
      </c>
      <c r="Q46" t="str">
        <f>"""default_value"":"&amp;IF(G46="""""",""""",",IF(LEFT(G46,1)="[",G46,""""&amp;G46&amp;"""")&amp;",")</f>
        <v>"default_value":"",</v>
      </c>
      <c r="R46" t="str">
        <f>"""docs_url"":"&amp;""""&amp;H46&amp;""","</f>
        <v>"docs_url":"https://looker.com/docs/r/lookml/types/explore/description?version=7.14&amp;lookml=new",</v>
      </c>
      <c r="S46" t="str">
        <f t="shared" si="3"/>
        <v>"has_allowed_values":False,</v>
      </c>
      <c r="T46" t="str">
        <f t="shared" si="4"/>
        <v>"allowed_values":""</v>
      </c>
    </row>
    <row r="47" spans="1:20" ht="15" customHeight="1" x14ac:dyDescent="0.15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592</v>
      </c>
      <c r="H47" s="4" t="s">
        <v>183</v>
      </c>
      <c r="I47" s="4" t="b">
        <v>0</v>
      </c>
      <c r="K47" s="4" t="b">
        <f>IF(COUNTIF($B$2:$B47,B47)&gt;1,TRUE,FALSE)</f>
        <v>0</v>
      </c>
      <c r="L47" t="str">
        <f>IF(
K47,"p["""&amp;B47&amp;"""].update({"&amp;""""&amp;C47&amp;""":{"&amp;_xlfn.CONCAT(N47:T47)&amp;"}})","p.update("&amp;M47&amp;")"
)</f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>"{"&amp;""""&amp;B47
&amp;""":{"&amp;""""&amp;C47&amp;""":{"&amp;_xlfn.CONCAT(N47:T47)&amp;"}}}"</f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0"/>
        <v>"type":"string",</v>
      </c>
      <c r="O47" t="str">
        <f t="shared" si="1"/>
        <v>"subtype":"possibly-localized-string",</v>
      </c>
      <c r="P47" t="str">
        <f t="shared" si="2"/>
        <v>"indent":1,</v>
      </c>
      <c r="Q47" t="str">
        <f>"""default_value"":"&amp;IF(G47="""""",""""",",IF(LEFT(G47,1)="[",G47,""""&amp;G47&amp;"""")&amp;",")</f>
        <v>"default_value":"",</v>
      </c>
      <c r="R47" t="str">
        <f>"""docs_url"":"&amp;""""&amp;H47&amp;""","</f>
        <v>"docs_url":"https://looker.com/docs/r/lookml/types/explore/group_label?version=7.14&amp;lookml=new",</v>
      </c>
      <c r="S47" t="str">
        <f t="shared" si="3"/>
        <v>"has_allowed_values":False,</v>
      </c>
      <c r="T47" t="str">
        <f t="shared" si="4"/>
        <v>"allowed_values":""</v>
      </c>
    </row>
    <row r="48" spans="1:20" ht="15" customHeight="1" x14ac:dyDescent="0.15">
      <c r="A48" s="7">
        <v>53</v>
      </c>
      <c r="B48" s="6" t="s">
        <v>90</v>
      </c>
      <c r="C48" s="6" t="s">
        <v>89</v>
      </c>
      <c r="D48" s="4" t="s">
        <v>15</v>
      </c>
      <c r="E48" s="4" t="s">
        <v>596</v>
      </c>
      <c r="F48" s="4">
        <v>1</v>
      </c>
      <c r="H48" s="4" t="s">
        <v>184</v>
      </c>
      <c r="I48" s="4" t="b">
        <v>0</v>
      </c>
      <c r="K48" s="4" t="b">
        <f>IF(COUNTIF($B$2:$B48,B48)&gt;1,TRUE,FALSE)</f>
        <v>1</v>
      </c>
      <c r="L48" t="str">
        <f>IF(
K48,"p["""&amp;B48&amp;"""].update({"&amp;""""&amp;C48&amp;""":{"&amp;_xlfn.CONCAT(N48:T48)&amp;"}})","p.update("&amp;M48&amp;")"
)</f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>"{"&amp;""""&amp;B48
&amp;""":{"&amp;""""&amp;C48&amp;""":{"&amp;_xlfn.CONCAT(N48:T48)&amp;"}}}"</f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0"/>
        <v>"type":"list_unquoted",</v>
      </c>
      <c r="O48" t="str">
        <f t="shared" si="1"/>
        <v>"subtype":"explore-ref",</v>
      </c>
      <c r="P48" t="str">
        <f t="shared" si="2"/>
        <v>"indent":1,</v>
      </c>
      <c r="Q48" t="str">
        <f>"""default_value"":"&amp;IF(G48="""""",""""",",IF(LEFT(G48,1)="[",G48,""""&amp;G48&amp;"""")&amp;",")</f>
        <v>"default_value":"",</v>
      </c>
      <c r="R48" t="str">
        <f>"""docs_url"":"&amp;""""&amp;H48&amp;""","</f>
        <v>"docs_url":"https://looker.com/docs/r/lookml/types/explore/extends?version=7.14&amp;lookml=new",</v>
      </c>
      <c r="S48" t="str">
        <f t="shared" si="3"/>
        <v>"has_allowed_values":False,</v>
      </c>
      <c r="T48" t="str">
        <f t="shared" si="4"/>
        <v>"allowed_values":""</v>
      </c>
    </row>
    <row r="49" spans="1:20" ht="15" customHeight="1" x14ac:dyDescent="0.15">
      <c r="A49" s="7">
        <v>54</v>
      </c>
      <c r="B49" s="6" t="s">
        <v>91</v>
      </c>
      <c r="C49" s="6" t="s">
        <v>89</v>
      </c>
      <c r="D49" s="4" t="s">
        <v>551</v>
      </c>
      <c r="E49" s="4" t="s">
        <v>551</v>
      </c>
      <c r="F49" s="4">
        <v>1</v>
      </c>
      <c r="G49" s="4" t="s">
        <v>516</v>
      </c>
      <c r="H49" s="4" t="s">
        <v>185</v>
      </c>
      <c r="I49" s="4" t="b">
        <v>1</v>
      </c>
      <c r="J49" s="4" t="s">
        <v>573</v>
      </c>
      <c r="K49" s="4" t="b">
        <f>IF(COUNTIF($B$2:$B49,B49)&gt;1,TRUE,FALSE)</f>
        <v>1</v>
      </c>
      <c r="L49" t="str">
        <f>IF(
K49,"p["""&amp;B49&amp;"""].update({"&amp;""""&amp;C49&amp;""":{"&amp;_xlfn.CONCAT(N49:T49)&amp;"}})","p.update("&amp;M49&amp;")"
)</f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>"{"&amp;""""&amp;B49
&amp;""":{"&amp;""""&amp;C49&amp;""":{"&amp;_xlfn.CONCAT(N49:T49)&amp;"}}}"</f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0"/>
        <v>"type":"options",</v>
      </c>
      <c r="O49" t="str">
        <f t="shared" si="1"/>
        <v>"subtype":"options",</v>
      </c>
      <c r="P49" t="str">
        <f t="shared" si="2"/>
        <v>"indent":1,</v>
      </c>
      <c r="Q49" t="str">
        <f>"""default_value"":"&amp;IF(G49="""""",""""",",IF(LEFT(G49,1)="[",G49,""""&amp;G49&amp;"""")&amp;",")</f>
        <v>"default_value":"required",</v>
      </c>
      <c r="R49" t="str">
        <f>"""docs_url"":"&amp;""""&amp;H49&amp;""","</f>
        <v>"docs_url":"https://looker.com/docs/r/lookml/types/explore/extension?version=7.14&amp;lookml=new",</v>
      </c>
      <c r="S49" t="str">
        <f t="shared" si="3"/>
        <v>"has_allowed_values":True,</v>
      </c>
      <c r="T49" t="str">
        <f t="shared" si="4"/>
        <v>"allowed_values":["required"]</v>
      </c>
    </row>
    <row r="50" spans="1:20" ht="15" customHeight="1" x14ac:dyDescent="0.15">
      <c r="A50" s="7">
        <v>55</v>
      </c>
      <c r="B50" s="6" t="s">
        <v>94</v>
      </c>
      <c r="C50" s="6" t="s">
        <v>89</v>
      </c>
      <c r="D50" s="4" t="s">
        <v>101</v>
      </c>
      <c r="E50" s="4" t="s">
        <v>599</v>
      </c>
      <c r="F50" s="4">
        <v>1</v>
      </c>
      <c r="H50" s="4" t="s">
        <v>186</v>
      </c>
      <c r="I50" s="4" t="b">
        <v>0</v>
      </c>
      <c r="K50" s="4" t="b">
        <f>IF(COUNTIF($B$2:$B50,B50)&gt;1,TRUE,FALSE)</f>
        <v>0</v>
      </c>
      <c r="L50" t="str">
        <f>IF(
K50,"p["""&amp;B50&amp;"""].update({"&amp;""""&amp;C50&amp;""":{"&amp;_xlfn.CONCAT(N50:T50)&amp;"}})","p.update("&amp;M50&amp;")"
)</f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>"{"&amp;""""&amp;B50
&amp;""":{"&amp;""""&amp;C50&amp;""":{"&amp;_xlfn.CONCAT(N50:T50)&amp;"}}}"</f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0"/>
        <v>"type":"string_unquoted",</v>
      </c>
      <c r="O50" t="str">
        <f t="shared" si="1"/>
        <v>"subtype":"view-ref",</v>
      </c>
      <c r="P50" t="str">
        <f t="shared" si="2"/>
        <v>"indent":1,</v>
      </c>
      <c r="Q50" t="str">
        <f>"""default_value"":"&amp;IF(G50="""""",""""",",IF(LEFT(G50,1)="[",G50,""""&amp;G50&amp;"""")&amp;",")</f>
        <v>"default_value":"",</v>
      </c>
      <c r="R50" t="str">
        <f>"""docs_url"":"&amp;""""&amp;H50&amp;""","</f>
        <v>"docs_url":"https://looker.com/docs/r/lookml/types/explore/from?version=7.14&amp;lookml=new",</v>
      </c>
      <c r="S50" t="str">
        <f t="shared" si="3"/>
        <v>"has_allowed_values":False,</v>
      </c>
      <c r="T50" t="str">
        <f t="shared" si="4"/>
        <v>"allowed_values":""</v>
      </c>
    </row>
    <row r="51" spans="1:20" ht="13" x14ac:dyDescent="0.15">
      <c r="A51" s="7">
        <v>56</v>
      </c>
      <c r="B51" s="6" t="s">
        <v>92</v>
      </c>
      <c r="C51" s="6" t="s">
        <v>89</v>
      </c>
      <c r="D51" s="4" t="s">
        <v>17</v>
      </c>
      <c r="E51" s="4" t="s">
        <v>596</v>
      </c>
      <c r="F51" s="4">
        <v>1</v>
      </c>
      <c r="H51" s="4" t="s">
        <v>187</v>
      </c>
      <c r="I51" s="4" t="b">
        <v>0</v>
      </c>
      <c r="K51" s="4" t="b">
        <f>IF(COUNTIF($B$2:$B51,B51)&gt;1,TRUE,FALSE)</f>
        <v>0</v>
      </c>
      <c r="L51" t="str">
        <f>IF(
K51,"p["""&amp;B51&amp;"""].update({"&amp;""""&amp;C51&amp;""":{"&amp;_xlfn.CONCAT(N51:T51)&amp;"}})","p.update("&amp;M51&amp;")"
)</f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>"{"&amp;""""&amp;B51
&amp;""":{"&amp;""""&amp;C51&amp;""":{"&amp;_xlfn.CONCAT(N51:T51)&amp;"}}}"</f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0"/>
        <v>"type":"list_unquoted",</v>
      </c>
      <c r="O51" t="str">
        <f t="shared" si="1"/>
        <v>"subtype":"field-ref",</v>
      </c>
      <c r="P51" t="str">
        <f t="shared" si="2"/>
        <v>"indent":1,</v>
      </c>
      <c r="Q51" t="str">
        <f>"""default_value"":"&amp;IF(G51="""""",""""",",IF(LEFT(G51,1)="[",G51,""""&amp;G51&amp;"""")&amp;",")</f>
        <v>"default_value":"",</v>
      </c>
      <c r="R51" t="str">
        <f>"""docs_url"":"&amp;""""&amp;H51&amp;""","</f>
        <v>"docs_url":"https://looker.com/docs/r/lookml/types/explore/fields?version=7.14&amp;lookml=new",</v>
      </c>
      <c r="S51" t="str">
        <f t="shared" si="3"/>
        <v>"has_allowed_values":False,</v>
      </c>
      <c r="T51" t="str">
        <f t="shared" si="4"/>
        <v>"allowed_values":""</v>
      </c>
    </row>
    <row r="52" spans="1:20" ht="13" x14ac:dyDescent="0.15">
      <c r="A52" s="7">
        <v>57</v>
      </c>
      <c r="B52" s="6" t="s">
        <v>93</v>
      </c>
      <c r="C52" s="6" t="s">
        <v>89</v>
      </c>
      <c r="D52" s="4" t="s">
        <v>569</v>
      </c>
      <c r="E52" s="4" t="s">
        <v>569</v>
      </c>
      <c r="F52" s="4">
        <v>1</v>
      </c>
      <c r="G52" s="4" t="s">
        <v>604</v>
      </c>
      <c r="H52" s="4" t="s">
        <v>188</v>
      </c>
      <c r="I52" s="4" t="b">
        <v>0</v>
      </c>
      <c r="K52" s="4" t="b">
        <f>IF(COUNTIF($B$2:$B52,B52)&gt;1,TRUE,FALSE)</f>
        <v>1</v>
      </c>
      <c r="L52" t="str">
        <f>IF(
K52,"p["""&amp;B52&amp;"""].update({"&amp;""""&amp;C52&amp;""":{"&amp;_xlfn.CONCAT(N52:T52)&amp;"}})","p.update("&amp;M52&amp;")"
)</f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>"{"&amp;""""&amp;B52
&amp;""":{"&amp;""""&amp;C52&amp;""":{"&amp;_xlfn.CONCAT(N52:T52)&amp;"}}}"</f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0"/>
        <v>"type":"yesno",</v>
      </c>
      <c r="O52" t="str">
        <f t="shared" si="1"/>
        <v>"subtype":"yesno",</v>
      </c>
      <c r="P52" t="str">
        <f t="shared" si="2"/>
        <v>"indent":1,</v>
      </c>
      <c r="Q52" t="str">
        <f>"""default_value"":"&amp;IF(G52="""""",""""",",IF(LEFT(G52,1)="[",G52,""""&amp;G52&amp;"""")&amp;",")</f>
        <v>"default_value":"no",</v>
      </c>
      <c r="R52" t="str">
        <f>"""docs_url"":"&amp;""""&amp;H52&amp;""","</f>
        <v>"docs_url":"https://looker.com/docs/r/lookml/types/explore/final?version=7.14&amp;lookml=new",</v>
      </c>
      <c r="S52" t="str">
        <f t="shared" si="3"/>
        <v>"has_allowed_values":False,</v>
      </c>
      <c r="T52" t="str">
        <f t="shared" si="4"/>
        <v>"allowed_values":""</v>
      </c>
    </row>
    <row r="53" spans="1:20" ht="13" x14ac:dyDescent="0.15">
      <c r="A53" s="7">
        <v>58</v>
      </c>
      <c r="B53" s="6" t="s">
        <v>21</v>
      </c>
      <c r="C53" s="6" t="s">
        <v>89</v>
      </c>
      <c r="D53" s="4" t="s">
        <v>569</v>
      </c>
      <c r="E53" s="4" t="s">
        <v>569</v>
      </c>
      <c r="F53" s="4">
        <v>1</v>
      </c>
      <c r="G53" s="4" t="s">
        <v>604</v>
      </c>
      <c r="H53" s="4" t="s">
        <v>189</v>
      </c>
      <c r="I53" s="4" t="b">
        <v>0</v>
      </c>
      <c r="K53" s="4" t="b">
        <f>IF(COUNTIF($B$2:$B53,B53)&gt;1,TRUE,FALSE)</f>
        <v>0</v>
      </c>
      <c r="L53" t="str">
        <f>IF(
K53,"p["""&amp;B53&amp;"""].update({"&amp;""""&amp;C53&amp;""":{"&amp;_xlfn.CONCAT(N53:T53)&amp;"}})","p.update("&amp;M53&amp;")"
)</f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>"{"&amp;""""&amp;B53
&amp;""":{"&amp;""""&amp;C53&amp;""":{"&amp;_xlfn.CONCAT(N53:T53)&amp;"}}}"</f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0"/>
        <v>"type":"yesno",</v>
      </c>
      <c r="O53" t="str">
        <f t="shared" si="1"/>
        <v>"subtype":"yesno",</v>
      </c>
      <c r="P53" t="str">
        <f t="shared" si="2"/>
        <v>"indent":1,</v>
      </c>
      <c r="Q53" t="str">
        <f>"""default_value"":"&amp;IF(G53="""""",""""",",IF(LEFT(G53,1)="[",G53,""""&amp;G53&amp;"""")&amp;",")</f>
        <v>"default_value":"no",</v>
      </c>
      <c r="R53" t="str">
        <f>"""docs_url"":"&amp;""""&amp;H53&amp;""","</f>
        <v>"docs_url":"https://looker.com/docs/r/lookml/types/explore/hidden?version=7.14&amp;lookml=new",</v>
      </c>
      <c r="S53" t="str">
        <f t="shared" si="3"/>
        <v>"has_allowed_values":False,</v>
      </c>
      <c r="T53" t="str">
        <f t="shared" si="4"/>
        <v>"allowed_values":""</v>
      </c>
    </row>
    <row r="54" spans="1:20" ht="13" x14ac:dyDescent="0.15">
      <c r="A54" s="7">
        <v>59</v>
      </c>
      <c r="B54" s="6" t="s">
        <v>96</v>
      </c>
      <c r="C54" s="6" t="s">
        <v>89</v>
      </c>
      <c r="D54" s="4" t="s">
        <v>95</v>
      </c>
      <c r="E54" s="4" t="s">
        <v>593</v>
      </c>
      <c r="F54" s="4">
        <v>1</v>
      </c>
      <c r="H54" s="4" t="s">
        <v>190</v>
      </c>
      <c r="I54" s="4" t="b">
        <v>0</v>
      </c>
      <c r="K54" s="4" t="b">
        <f>IF(COUNTIF($B$2:$B54,B54)&gt;1,TRUE,FALSE)</f>
        <v>0</v>
      </c>
      <c r="L54" t="str">
        <f>IF(
K54,"p["""&amp;B54&amp;"""].update({"&amp;""""&amp;C54&amp;""":{"&amp;_xlfn.CONCAT(N54:T54)&amp;"}})","p.update("&amp;M54&amp;")"
)</f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>"{"&amp;""""&amp;B54
&amp;""":{"&amp;""""&amp;C54&amp;""":{"&amp;_xlfn.CONCAT(N54:T54)&amp;"}}}"</f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0"/>
        <v>"type":"named_construct",</v>
      </c>
      <c r="O54" t="str">
        <f t="shared" si="1"/>
        <v>"subtype":"identifier",</v>
      </c>
      <c r="P54" t="str">
        <f t="shared" si="2"/>
        <v>"indent":1,</v>
      </c>
      <c r="Q54" t="str">
        <f>"""default_value"":"&amp;IF(G54="""""",""""",",IF(LEFT(G54,1)="[",G54,""""&amp;G54&amp;"""")&amp;",")</f>
        <v>"default_value":"",</v>
      </c>
      <c r="R54" t="str">
        <f>"""docs_url"":"&amp;""""&amp;H54&amp;""","</f>
        <v>"docs_url":"https://looker.com/docs/r/lookml/types/explore/join?version=7.14&amp;lookml=new",</v>
      </c>
      <c r="S54" t="str">
        <f t="shared" si="3"/>
        <v>"has_allowed_values":False,</v>
      </c>
      <c r="T54" t="str">
        <f t="shared" si="4"/>
        <v>"allowed_values":""</v>
      </c>
    </row>
    <row r="55" spans="1:20" ht="13" x14ac:dyDescent="0.15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592</v>
      </c>
      <c r="H55" s="4" t="s">
        <v>191</v>
      </c>
      <c r="I55" s="4" t="b">
        <v>0</v>
      </c>
      <c r="K55" s="4" t="b">
        <f>IF(COUNTIF($B$2:$B55,B55)&gt;1,TRUE,FALSE)</f>
        <v>1</v>
      </c>
      <c r="L55" t="str">
        <f>IF(
K55,"p["""&amp;B55&amp;"""].update({"&amp;""""&amp;C55&amp;""":{"&amp;_xlfn.CONCAT(N55:T55)&amp;"}})","p.update("&amp;M55&amp;")"
)</f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>"{"&amp;""""&amp;B55
&amp;""":{"&amp;""""&amp;C55&amp;""":{"&amp;_xlfn.CONCAT(N55:T55)&amp;"}}}"</f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0"/>
        <v>"type":"string",</v>
      </c>
      <c r="O55" t="str">
        <f t="shared" si="1"/>
        <v>"subtype":"possibly-localized-string",</v>
      </c>
      <c r="P55" t="str">
        <f t="shared" si="2"/>
        <v>"indent":1,</v>
      </c>
      <c r="Q55" t="str">
        <f>"""default_value"":"&amp;IF(G55="""""",""""",",IF(LEFT(G55,1)="[",G55,""""&amp;G55&amp;"""")&amp;",")</f>
        <v>"default_value":"",</v>
      </c>
      <c r="R55" t="str">
        <f>"""docs_url"":"&amp;""""&amp;H55&amp;""","</f>
        <v>"docs_url":"https://looker.com/docs/r/lookml/types/explore/label?version=7.14&amp;lookml=new",</v>
      </c>
      <c r="S55" t="str">
        <f t="shared" si="3"/>
        <v>"has_allowed_values":False,</v>
      </c>
      <c r="T55" t="str">
        <f t="shared" si="4"/>
        <v>"allowed_values":""</v>
      </c>
    </row>
    <row r="56" spans="1:20" ht="13" x14ac:dyDescent="0.15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592</v>
      </c>
      <c r="H56" s="4" t="s">
        <v>192</v>
      </c>
      <c r="I56" s="4" t="b">
        <v>0</v>
      </c>
      <c r="K56" s="4" t="b">
        <f>IF(COUNTIF($B$2:$B56,B56)&gt;1,TRUE,FALSE)</f>
        <v>1</v>
      </c>
      <c r="L56" t="str">
        <f>IF(
K56,"p["""&amp;B56&amp;"""].update({"&amp;""""&amp;C56&amp;""":{"&amp;_xlfn.CONCAT(N56:T56)&amp;"}})","p.update("&amp;M56&amp;")"
)</f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>"{"&amp;""""&amp;B56
&amp;""":{"&amp;""""&amp;C56&amp;""":{"&amp;_xlfn.CONCAT(N56:T56)&amp;"}}}"</f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0"/>
        <v>"type":"string",</v>
      </c>
      <c r="O56" t="str">
        <f t="shared" si="1"/>
        <v>"subtype":"string",</v>
      </c>
      <c r="P56" t="str">
        <f t="shared" si="2"/>
        <v>"indent":1,</v>
      </c>
      <c r="Q56" t="str">
        <f>"""default_value"":"&amp;IF(G56="""""",""""",",IF(LEFT(G56,1)="[",G56,""""&amp;G56&amp;"""")&amp;",")</f>
        <v>"default_value":"",</v>
      </c>
      <c r="R56" t="str">
        <f>"""docs_url"":"&amp;""""&amp;H56&amp;""","</f>
        <v>"docs_url":"https://looker.com/docs/r/lookml/types/explore/persist_for?version=7.14&amp;lookml=new",</v>
      </c>
      <c r="S56" t="str">
        <f t="shared" si="3"/>
        <v>"has_allowed_values":False,</v>
      </c>
      <c r="T56" t="str">
        <f t="shared" si="4"/>
        <v>"allowed_values":""</v>
      </c>
    </row>
    <row r="57" spans="1:20" ht="13" x14ac:dyDescent="0.15">
      <c r="A57" s="7">
        <v>62</v>
      </c>
      <c r="B57" s="6" t="s">
        <v>97</v>
      </c>
      <c r="C57" s="6" t="s">
        <v>89</v>
      </c>
      <c r="D57" s="4" t="s">
        <v>68</v>
      </c>
      <c r="E57" s="4" t="s">
        <v>599</v>
      </c>
      <c r="F57" s="4">
        <v>1</v>
      </c>
      <c r="H57" s="4" t="s">
        <v>193</v>
      </c>
      <c r="I57" s="4" t="b">
        <v>0</v>
      </c>
      <c r="K57" s="4" t="b">
        <f>IF(COUNTIF($B$2:$B57,B57)&gt;1,TRUE,FALSE)</f>
        <v>1</v>
      </c>
      <c r="L57" t="str">
        <f>IF(
K57,"p["""&amp;B57&amp;"""].update({"&amp;""""&amp;C57&amp;""":{"&amp;_xlfn.CONCAT(N57:T57)&amp;"}})","p.update("&amp;M57&amp;")"
)</f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>"{"&amp;""""&amp;B57
&amp;""":{"&amp;""""&amp;C57&amp;""":{"&amp;_xlfn.CONCAT(N57:T57)&amp;"}}}"</f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0"/>
        <v>"type":"string_unquoted",</v>
      </c>
      <c r="O57" t="str">
        <f t="shared" si="1"/>
        <v>"subtype":"datagroup-ref",</v>
      </c>
      <c r="P57" t="str">
        <f t="shared" si="2"/>
        <v>"indent":1,</v>
      </c>
      <c r="Q57" t="str">
        <f>"""default_value"":"&amp;IF(G57="""""",""""",",IF(LEFT(G57,1)="[",G57,""""&amp;G57&amp;"""")&amp;",")</f>
        <v>"default_value":"",</v>
      </c>
      <c r="R57" t="str">
        <f>"""docs_url"":"&amp;""""&amp;H57&amp;""","</f>
        <v>"docs_url":"https://looker.com/docs/r/lookml/types/explore/persist_with?version=7.14&amp;lookml=new",</v>
      </c>
      <c r="S57" t="str">
        <f t="shared" si="3"/>
        <v>"has_allowed_values":False,</v>
      </c>
      <c r="T57" t="str">
        <f t="shared" si="4"/>
        <v>"allowed_values":""</v>
      </c>
    </row>
    <row r="58" spans="1:20" ht="13" x14ac:dyDescent="0.15">
      <c r="A58" s="7">
        <v>63</v>
      </c>
      <c r="B58" s="6" t="s">
        <v>31</v>
      </c>
      <c r="C58" s="6" t="s">
        <v>89</v>
      </c>
      <c r="D58" s="4" t="s">
        <v>612</v>
      </c>
      <c r="E58" s="4" t="s">
        <v>596</v>
      </c>
      <c r="F58" s="4">
        <v>1</v>
      </c>
      <c r="H58" s="4" t="s">
        <v>194</v>
      </c>
      <c r="I58" s="4" t="b">
        <v>0</v>
      </c>
      <c r="K58" s="4" t="b">
        <f>IF(COUNTIF($B$2:$B58,B58)&gt;1,TRUE,FALSE)</f>
        <v>1</v>
      </c>
      <c r="L58" t="str">
        <f>IF(
K58,"p["""&amp;B58&amp;"""].update({"&amp;""""&amp;C58&amp;""":{"&amp;_xlfn.CONCAT(N58:T58)&amp;"}})","p.update("&amp;M58&amp;")"
)</f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>"{"&amp;""""&amp;B58
&amp;""":{"&amp;""""&amp;C58&amp;""":{"&amp;_xlfn.CONCAT(N58:T58)&amp;"}}}"</f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0"/>
        <v>"type":"list_unquoted",</v>
      </c>
      <c r="O58" t="str">
        <f t="shared" si="1"/>
        <v>"subtype":"access-grant-ref",</v>
      </c>
      <c r="P58" t="str">
        <f t="shared" si="2"/>
        <v>"indent":1,</v>
      </c>
      <c r="Q58" t="str">
        <f>"""default_value"":"&amp;IF(G58="""""",""""",",IF(LEFT(G58,1)="[",G58,""""&amp;G58&amp;"""")&amp;",")</f>
        <v>"default_value":"",</v>
      </c>
      <c r="R58" t="str">
        <f>"""docs_url"":"&amp;""""&amp;H58&amp;""","</f>
        <v>"docs_url":"https://looker.com/docs/r/lookml/types/explore/required_access_grants?version=7.14&amp;lookml=new",</v>
      </c>
      <c r="S58" t="str">
        <f t="shared" si="3"/>
        <v>"has_allowed_values":False,</v>
      </c>
      <c r="T58" t="str">
        <f t="shared" si="4"/>
        <v>"allowed_values":""</v>
      </c>
    </row>
    <row r="59" spans="1:20" ht="13" x14ac:dyDescent="0.15">
      <c r="A59" s="7">
        <v>64</v>
      </c>
      <c r="B59" s="6" t="s">
        <v>99</v>
      </c>
      <c r="C59" s="6" t="s">
        <v>89</v>
      </c>
      <c r="D59" s="4" t="s">
        <v>613</v>
      </c>
      <c r="E59" s="4" t="s">
        <v>34</v>
      </c>
      <c r="F59" s="4">
        <v>1</v>
      </c>
      <c r="G59" s="4" t="s">
        <v>592</v>
      </c>
      <c r="H59" s="4" t="s">
        <v>195</v>
      </c>
      <c r="I59" s="4" t="b">
        <v>0</v>
      </c>
      <c r="K59" s="4" t="b">
        <f>IF(COUNTIF($B$2:$B59,B59)&gt;1,TRUE,FALSE)</f>
        <v>0</v>
      </c>
      <c r="L59" t="str">
        <f>IF(
K59,"p["""&amp;B59&amp;"""].update({"&amp;""""&amp;C59&amp;""":{"&amp;_xlfn.CONCAT(N59:T59)&amp;"}})","p.update("&amp;M59&amp;")"
)</f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>"{"&amp;""""&amp;B59
&amp;""":{"&amp;""""&amp;C59&amp;""":{"&amp;_xlfn.CONCAT(N59:T59)&amp;"}}}"</f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0"/>
        <v>"type":"sql",</v>
      </c>
      <c r="O59" t="str">
        <f t="shared" si="1"/>
        <v>"subtype":"sql-block ",</v>
      </c>
      <c r="P59" t="str">
        <f t="shared" si="2"/>
        <v>"indent":1,</v>
      </c>
      <c r="Q59" t="str">
        <f>"""default_value"":"&amp;IF(G59="""""",""""",",IF(LEFT(G59,1)="[",G59,""""&amp;G59&amp;"""")&amp;",")</f>
        <v>"default_value":"",</v>
      </c>
      <c r="R59" t="str">
        <f>"""docs_url"":"&amp;""""&amp;H59&amp;""","</f>
        <v>"docs_url":"https://looker.com/docs/r/lookml/types/explore/sql_always_where?version=7.14&amp;lookml=new",</v>
      </c>
      <c r="S59" t="str">
        <f t="shared" si="3"/>
        <v>"has_allowed_values":False,</v>
      </c>
      <c r="T59" t="str">
        <f t="shared" si="4"/>
        <v>"allowed_values":""</v>
      </c>
    </row>
    <row r="60" spans="1:20" ht="13" x14ac:dyDescent="0.15">
      <c r="A60" s="7">
        <v>65</v>
      </c>
      <c r="B60" s="6" t="s">
        <v>98</v>
      </c>
      <c r="C60" s="6" t="s">
        <v>89</v>
      </c>
      <c r="D60" s="4" t="s">
        <v>613</v>
      </c>
      <c r="E60" s="4" t="s">
        <v>34</v>
      </c>
      <c r="F60" s="4">
        <v>1</v>
      </c>
      <c r="G60" s="4" t="s">
        <v>592</v>
      </c>
      <c r="H60" s="4" t="s">
        <v>196</v>
      </c>
      <c r="I60" s="4" t="b">
        <v>0</v>
      </c>
      <c r="K60" s="4" t="b">
        <f>IF(COUNTIF($B$2:$B60,B60)&gt;1,TRUE,FALSE)</f>
        <v>0</v>
      </c>
      <c r="L60" t="str">
        <f>IF(
K60,"p["""&amp;B60&amp;"""].update({"&amp;""""&amp;C60&amp;""":{"&amp;_xlfn.CONCAT(N60:T60)&amp;"}})","p.update("&amp;M60&amp;")"
)</f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>"{"&amp;""""&amp;B60
&amp;""":{"&amp;""""&amp;C60&amp;""":{"&amp;_xlfn.CONCAT(N60:T60)&amp;"}}}"</f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0"/>
        <v>"type":"sql",</v>
      </c>
      <c r="O60" t="str">
        <f t="shared" si="1"/>
        <v>"subtype":"sql-block ",</v>
      </c>
      <c r="P60" t="str">
        <f t="shared" si="2"/>
        <v>"indent":1,</v>
      </c>
      <c r="Q60" t="str">
        <f>"""default_value"":"&amp;IF(G60="""""",""""",",IF(LEFT(G60,1)="[",G60,""""&amp;G60&amp;"""")&amp;",")</f>
        <v>"default_value":"",</v>
      </c>
      <c r="R60" t="str">
        <f>"""docs_url"":"&amp;""""&amp;H60&amp;""","</f>
        <v>"docs_url":"https://looker.com/docs/r/lookml/types/explore/sql_always_having?version=7.14&amp;lookml=new",</v>
      </c>
      <c r="S60" t="str">
        <f t="shared" si="3"/>
        <v>"has_allowed_values":False,</v>
      </c>
      <c r="T60" t="str">
        <f t="shared" si="4"/>
        <v>"allowed_values":""</v>
      </c>
    </row>
    <row r="61" spans="1:20" ht="13" x14ac:dyDescent="0.15">
      <c r="A61" s="7">
        <v>66</v>
      </c>
      <c r="B61" s="6" t="s">
        <v>100</v>
      </c>
      <c r="C61" s="6" t="s">
        <v>89</v>
      </c>
      <c r="D61" s="4" t="s">
        <v>613</v>
      </c>
      <c r="E61" s="4" t="s">
        <v>34</v>
      </c>
      <c r="F61" s="4">
        <v>1</v>
      </c>
      <c r="G61" s="4" t="s">
        <v>592</v>
      </c>
      <c r="H61" s="4" t="s">
        <v>197</v>
      </c>
      <c r="I61" s="4" t="b">
        <v>0</v>
      </c>
      <c r="K61" s="4" t="b">
        <f>IF(COUNTIF($B$2:$B61,B61)&gt;1,TRUE,FALSE)</f>
        <v>1</v>
      </c>
      <c r="L61" t="str">
        <f>IF(
K61,"p["""&amp;B61&amp;"""].update({"&amp;""""&amp;C61&amp;""":{"&amp;_xlfn.CONCAT(N61:T61)&amp;"}})","p.update("&amp;M61&amp;")"
)</f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>"{"&amp;""""&amp;B61
&amp;""":{"&amp;""""&amp;C61&amp;""":{"&amp;_xlfn.CONCAT(N61:T61)&amp;"}}}"</f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0"/>
        <v>"type":"sql",</v>
      </c>
      <c r="O61" t="str">
        <f t="shared" si="1"/>
        <v>"subtype":"sql-block ",</v>
      </c>
      <c r="P61" t="str">
        <f t="shared" si="2"/>
        <v>"indent":1,</v>
      </c>
      <c r="Q61" t="str">
        <f>"""default_value"":"&amp;IF(G61="""""",""""",",IF(LEFT(G61,1)="[",G61,""""&amp;G61&amp;"""")&amp;",")</f>
        <v>"default_value":"",</v>
      </c>
      <c r="R61" t="str">
        <f>"""docs_url"":"&amp;""""&amp;H61&amp;""","</f>
        <v>"docs_url":"https://looker.com/docs/r/lookml/types/explore/sql_table_name?version=7.14&amp;lookml=new",</v>
      </c>
      <c r="S61" t="str">
        <f t="shared" si="3"/>
        <v>"has_allowed_values":False,</v>
      </c>
      <c r="T61" t="str">
        <f t="shared" si="4"/>
        <v>"allowed_values":""</v>
      </c>
    </row>
    <row r="62" spans="1:20" ht="13" x14ac:dyDescent="0.15">
      <c r="A62" s="7">
        <v>67</v>
      </c>
      <c r="B62" s="6" t="s">
        <v>47</v>
      </c>
      <c r="C62" s="6" t="s">
        <v>89</v>
      </c>
      <c r="D62" s="4" t="s">
        <v>598</v>
      </c>
      <c r="E62" s="4" t="s">
        <v>598</v>
      </c>
      <c r="F62" s="4">
        <v>1</v>
      </c>
      <c r="H62" s="4" t="s">
        <v>198</v>
      </c>
      <c r="I62" s="4" t="b">
        <v>0</v>
      </c>
      <c r="K62" s="4" t="b">
        <f>IF(COUNTIF($B$2:$B62,B62)&gt;1,TRUE,FALSE)</f>
        <v>0</v>
      </c>
      <c r="L62" t="str">
        <f>IF(
K62,"p["""&amp;B62&amp;"""].update({"&amp;""""&amp;C62&amp;""":{"&amp;_xlfn.CONCAT(N62:T62)&amp;"}})","p.update("&amp;M62&amp;")"
)</f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>"{"&amp;""""&amp;B62
&amp;""":{"&amp;""""&amp;C62&amp;""":{"&amp;_xlfn.CONCAT(N62:T62)&amp;"}}}"</f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0"/>
        <v>"type":"list_quoted",</v>
      </c>
      <c r="O62" t="str">
        <f t="shared" si="1"/>
        <v>"subtype":"list_quoted",</v>
      </c>
      <c r="P62" t="str">
        <f t="shared" si="2"/>
        <v>"indent":1,</v>
      </c>
      <c r="Q62" t="str">
        <f>"""default_value"":"&amp;IF(G62="""""",""""",",IF(LEFT(G62,1)="[",G62,""""&amp;G62&amp;"""")&amp;",")</f>
        <v>"default_value":"",</v>
      </c>
      <c r="R62" t="str">
        <f>"""docs_url"":"&amp;""""&amp;H62&amp;""","</f>
        <v>"docs_url":"https://looker.com/docs/r/lookml/types/explore/tags?version=7.14&amp;lookml=new",</v>
      </c>
      <c r="S62" t="str">
        <f t="shared" si="3"/>
        <v>"has_allowed_values":False,</v>
      </c>
      <c r="T62" t="str">
        <f t="shared" si="4"/>
        <v>"allowed_values":""</v>
      </c>
    </row>
    <row r="63" spans="1:20" ht="13" x14ac:dyDescent="0.15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592</v>
      </c>
      <c r="H63" s="4" t="s">
        <v>199</v>
      </c>
      <c r="I63" s="4" t="b">
        <v>0</v>
      </c>
      <c r="K63" s="4" t="b">
        <f>IF(COUNTIF($B$2:$B63,B63)&gt;1,TRUE,FALSE)</f>
        <v>1</v>
      </c>
      <c r="L63" t="str">
        <f>IF(
K63,"p["""&amp;B63&amp;"""].update({"&amp;""""&amp;C63&amp;""":{"&amp;_xlfn.CONCAT(N63:T63)&amp;"}})","p.update("&amp;M63&amp;")"
)</f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>"{"&amp;""""&amp;B63
&amp;""":{"&amp;""""&amp;C63&amp;""":{"&amp;_xlfn.CONCAT(N63:T63)&amp;"}}}"</f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0"/>
        <v>"type":"string",</v>
      </c>
      <c r="O63" t="str">
        <f t="shared" si="1"/>
        <v>"subtype":"possibly-localized-string",</v>
      </c>
      <c r="P63" t="str">
        <f t="shared" si="2"/>
        <v>"indent":1,</v>
      </c>
      <c r="Q63" t="str">
        <f>"""default_value"":"&amp;IF(G63="""""",""""",",IF(LEFT(G63,1)="[",G63,""""&amp;G63&amp;"""")&amp;",")</f>
        <v>"default_value":"",</v>
      </c>
      <c r="R63" t="str">
        <f>"""docs_url"":"&amp;""""&amp;H63&amp;""","</f>
        <v>"docs_url":"https://looker.com/docs/r/lookml/types/explore/view_label?version=7.14&amp;lookml=new",</v>
      </c>
      <c r="S63" t="str">
        <f t="shared" si="3"/>
        <v>"has_allowed_values":False,</v>
      </c>
      <c r="T63" t="str">
        <f t="shared" si="4"/>
        <v>"allowed_values":""</v>
      </c>
    </row>
    <row r="64" spans="1:20" ht="13" x14ac:dyDescent="0.15">
      <c r="A64" s="7">
        <v>69</v>
      </c>
      <c r="B64" s="6" t="s">
        <v>102</v>
      </c>
      <c r="C64" s="6" t="s">
        <v>89</v>
      </c>
      <c r="D64" s="4" t="s">
        <v>101</v>
      </c>
      <c r="E64" s="1" t="s">
        <v>599</v>
      </c>
      <c r="F64" s="4">
        <v>1</v>
      </c>
      <c r="H64" s="4" t="s">
        <v>200</v>
      </c>
      <c r="I64" s="4" t="b">
        <v>0</v>
      </c>
      <c r="K64" s="4" t="b">
        <f>IF(COUNTIF($B$2:$B64,B64)&gt;1,TRUE,FALSE)</f>
        <v>0</v>
      </c>
      <c r="L64" t="str">
        <f>IF(
K64,"p["""&amp;B64&amp;"""].update({"&amp;""""&amp;C64&amp;""":{"&amp;_xlfn.CONCAT(N64:T64)&amp;"}})","p.update("&amp;M64&amp;")"
)</f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>"{"&amp;""""&amp;B64
&amp;""":{"&amp;""""&amp;C64&amp;""":{"&amp;_xlfn.CONCAT(N64:T64)&amp;"}}}"</f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0"/>
        <v>"type":"string_unquoted",</v>
      </c>
      <c r="O64" t="str">
        <f t="shared" si="1"/>
        <v>"subtype":"view-ref",</v>
      </c>
      <c r="P64" t="str">
        <f t="shared" si="2"/>
        <v>"indent":1,</v>
      </c>
      <c r="Q64" t="str">
        <f>"""default_value"":"&amp;IF(G64="""""",""""",",IF(LEFT(G64,1)="[",G64,""""&amp;G64&amp;"""")&amp;",")</f>
        <v>"default_value":"",</v>
      </c>
      <c r="R64" t="str">
        <f>"""docs_url"":"&amp;""""&amp;H64&amp;""","</f>
        <v>"docs_url":"https://looker.com/docs/r/lookml/types/explore/view_name?version=7.14&amp;lookml=new",</v>
      </c>
      <c r="S64" t="str">
        <f t="shared" si="3"/>
        <v>"has_allowed_values":False,</v>
      </c>
      <c r="T64" t="str">
        <f t="shared" si="4"/>
        <v>"allowed_values":""</v>
      </c>
    </row>
    <row r="65" spans="1:20" ht="13" x14ac:dyDescent="0.15">
      <c r="A65" s="7">
        <v>72</v>
      </c>
      <c r="B65" s="6" t="s">
        <v>1</v>
      </c>
      <c r="C65" s="6" t="s">
        <v>12</v>
      </c>
      <c r="D65" s="4" t="s">
        <v>541</v>
      </c>
      <c r="E65" s="4" t="s">
        <v>541</v>
      </c>
      <c r="F65" s="4">
        <v>2</v>
      </c>
      <c r="H65" s="5" t="s">
        <v>201</v>
      </c>
      <c r="I65" s="4" t="b">
        <v>0</v>
      </c>
      <c r="K65" s="4" t="b">
        <f>IF(COUNTIF($B$2:$B65,B65)&gt;1,TRUE,FALSE)</f>
        <v>0</v>
      </c>
      <c r="L65" t="str">
        <f>IF(
K65,"p["""&amp;B65&amp;"""].update({"&amp;""""&amp;C65&amp;""":{"&amp;_xlfn.CONCAT(N65:T65)&amp;"}})","p.update("&amp;M65&amp;")"
)</f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>"{"&amp;""""&amp;B65
&amp;""":{"&amp;""""&amp;C65&amp;""":{"&amp;_xlfn.CONCAT(N65:T65)&amp;"}}}"</f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0"/>
        <v>"type":"anonymous_construct_plural",</v>
      </c>
      <c r="O65" t="str">
        <f t="shared" si="1"/>
        <v>"subtype":"anonymous_construct_plural",</v>
      </c>
      <c r="P65" t="str">
        <f t="shared" si="2"/>
        <v>"indent":2,</v>
      </c>
      <c r="Q65" t="str">
        <f>"""default_value"":"&amp;IF(G65="""""",""""",",IF(LEFT(G65,1)="[",G65,""""&amp;G65&amp;"""")&amp;",")</f>
        <v>"default_value":"",</v>
      </c>
      <c r="R65" t="str">
        <f>"""docs_url"":"&amp;""""&amp;H65&amp;""","</f>
        <v>"docs_url":"https://looker.com/docs/r/lookml/types/dimension/action?version=7.14&amp;lookml=new",</v>
      </c>
      <c r="S65" t="str">
        <f t="shared" si="3"/>
        <v>"has_allowed_values":False,</v>
      </c>
      <c r="T65" t="str">
        <f t="shared" si="4"/>
        <v>"allowed_values":""</v>
      </c>
    </row>
    <row r="66" spans="1:20" ht="13" x14ac:dyDescent="0.15">
      <c r="A66" s="7">
        <v>73</v>
      </c>
      <c r="B66" s="6" t="s">
        <v>3</v>
      </c>
      <c r="C66" s="6" t="s">
        <v>12</v>
      </c>
      <c r="D66" s="4" t="s">
        <v>569</v>
      </c>
      <c r="E66" s="4" t="s">
        <v>569</v>
      </c>
      <c r="F66" s="4">
        <v>2</v>
      </c>
      <c r="G66" s="4" t="s">
        <v>605</v>
      </c>
      <c r="H66" s="4" t="s">
        <v>202</v>
      </c>
      <c r="I66" s="4" t="b">
        <v>0</v>
      </c>
      <c r="K66" s="4" t="b">
        <f>IF(COUNTIF($B$2:$B66,B66)&gt;1,TRUE,FALSE)</f>
        <v>0</v>
      </c>
      <c r="L66" t="str">
        <f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0"/>
        <v>"type":"yesno",</v>
      </c>
      <c r="O66" t="str">
        <f t="shared" si="1"/>
        <v>"subtype":"yesno",</v>
      </c>
      <c r="P66" t="str">
        <f t="shared" si="2"/>
        <v>"indent":2,</v>
      </c>
      <c r="Q66" t="str">
        <f t="shared" ref="Q66:Q75" si="5">"""default_value"":"&amp;IF(G66="""""",""""",",IF(LEFT(G66,1)="[",G66,""""&amp;G66&amp;"""")&amp;",")</f>
        <v>"default_value":"yes",</v>
      </c>
      <c r="R66" t="str">
        <f>"""docs_url"":"&amp;""""&amp;H66&amp;""","</f>
        <v>"docs_url":"https://looker.com/docs/r/lookml/types/dimension/allow_fill?version=7.14&amp;lookml=new",</v>
      </c>
      <c r="S66" t="str">
        <f t="shared" si="3"/>
        <v>"has_allowed_values":False,</v>
      </c>
      <c r="T66" t="str">
        <f t="shared" si="4"/>
        <v>"allowed_values":""</v>
      </c>
    </row>
    <row r="67" spans="1:20" ht="13" x14ac:dyDescent="0.15">
      <c r="A67" s="7">
        <v>74</v>
      </c>
      <c r="B67" s="6" t="s">
        <v>4</v>
      </c>
      <c r="C67" s="6" t="s">
        <v>12</v>
      </c>
      <c r="D67" s="4" t="s">
        <v>569</v>
      </c>
      <c r="E67" s="4" t="s">
        <v>569</v>
      </c>
      <c r="F67" s="4">
        <v>2</v>
      </c>
      <c r="G67" s="4" t="s">
        <v>604</v>
      </c>
      <c r="H67" s="4" t="s">
        <v>203</v>
      </c>
      <c r="I67" s="4" t="b">
        <v>0</v>
      </c>
      <c r="K67" s="4" t="b">
        <f>IF(COUNTIF($B$2:$B67,B67)&gt;1,TRUE,FALSE)</f>
        <v>0</v>
      </c>
      <c r="L67" t="str">
        <f>IF(
K67,"p["""&amp;B67&amp;"""].update({"&amp;""""&amp;C67&amp;""":{"&amp;_xlfn.CONCAT(N67:T67)&amp;"}})","p.update("&amp;M67&amp;")"
)</f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>"{"&amp;""""&amp;B67
&amp;""":{"&amp;""""&amp;C67&amp;""":{"&amp;_xlfn.CONCAT(N67:T67)&amp;"}}}"</f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O130" si="6">"""type"":"&amp;""""&amp;E67&amp;""","</f>
        <v>"type":"yesno",</v>
      </c>
      <c r="O67" t="str">
        <f t="shared" ref="O67:O130" si="7">"""subtype"":"&amp;""""&amp;D67&amp;""","</f>
        <v>"subtype":"yesno",</v>
      </c>
      <c r="P67" t="str">
        <f t="shared" ref="P67:P130" si="8">"""indent"":"&amp;F67&amp;","</f>
        <v>"indent":2,</v>
      </c>
      <c r="Q67" t="str">
        <f t="shared" si="5"/>
        <v>"default_value":"no",</v>
      </c>
      <c r="R67" t="str">
        <f t="shared" ref="R67:R130" si="9">"""docs_url"":"&amp;""""&amp;H67&amp;""","</f>
        <v>"docs_url":"https://looker.com/docs/r/lookml/types/dimension/alpha_sort?version=7.14&amp;lookml=new",</v>
      </c>
      <c r="S67" t="str">
        <f t="shared" ref="S67:S130" si="10">"""has_allowed_values"":"&amp;IF(I67,"True,","False"&amp;",")</f>
        <v>"has_allowed_values":False,</v>
      </c>
      <c r="T67" t="str">
        <f t="shared" ref="T67:T130" si="11">"""allowed_values"":"&amp;IF(J67&lt;&gt;"",J67,"""""")</f>
        <v>"allowed_values":""</v>
      </c>
    </row>
    <row r="68" spans="1:20" ht="13" x14ac:dyDescent="0.15">
      <c r="A68" s="7">
        <v>75</v>
      </c>
      <c r="B68" s="6" t="s">
        <v>5</v>
      </c>
      <c r="C68" s="6" t="s">
        <v>12</v>
      </c>
      <c r="D68" s="4" t="s">
        <v>569</v>
      </c>
      <c r="E68" s="4" t="s">
        <v>569</v>
      </c>
      <c r="F68" s="4">
        <v>2</v>
      </c>
      <c r="G68" s="4" t="s">
        <v>604</v>
      </c>
      <c r="H68" s="4" t="s">
        <v>204</v>
      </c>
      <c r="I68" s="4" t="b">
        <v>0</v>
      </c>
      <c r="K68" s="4" t="b">
        <f>IF(COUNTIF($B$2:$B68,B68)&gt;1,TRUE,FALSE)</f>
        <v>0</v>
      </c>
      <c r="L68" t="str">
        <f>IF(
K68,"p["""&amp;B68&amp;"""].update({"&amp;""""&amp;C68&amp;""":{"&amp;_xlfn.CONCAT(N68:T68)&amp;"}})","p.update("&amp;M68&amp;")"
)</f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>"{"&amp;""""&amp;B68
&amp;""":{"&amp;""""&amp;C68&amp;""":{"&amp;_xlfn.CONCAT(N68:T68)&amp;"}}}"</f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6"/>
        <v>"type":"yesno",</v>
      </c>
      <c r="O68" t="str">
        <f t="shared" si="7"/>
        <v>"subtype":"yesno",</v>
      </c>
      <c r="P68" t="str">
        <f t="shared" si="8"/>
        <v>"indent":2,</v>
      </c>
      <c r="Q68" t="str">
        <f t="shared" si="5"/>
        <v>"default_value":"no",</v>
      </c>
      <c r="R68" t="str">
        <f t="shared" si="9"/>
        <v>"docs_url":"https://looker.com/docs/r/lookml/types/dimension/bypass_suggest_restrictions?version=7.14&amp;lookml=new",</v>
      </c>
      <c r="S68" t="str">
        <f t="shared" si="10"/>
        <v>"has_allowed_values":False,</v>
      </c>
      <c r="T68" t="str">
        <f t="shared" si="11"/>
        <v>"allowed_values":""</v>
      </c>
    </row>
    <row r="69" spans="1:20" ht="13" x14ac:dyDescent="0.15">
      <c r="A69" s="7">
        <v>76</v>
      </c>
      <c r="B69" s="6" t="s">
        <v>6</v>
      </c>
      <c r="C69" s="6" t="s">
        <v>12</v>
      </c>
      <c r="D69" s="4" t="s">
        <v>569</v>
      </c>
      <c r="E69" s="4" t="s">
        <v>569</v>
      </c>
      <c r="F69" s="4">
        <v>2</v>
      </c>
      <c r="G69" s="4" t="s">
        <v>605</v>
      </c>
      <c r="H69" s="4" t="s">
        <v>205</v>
      </c>
      <c r="I69" s="4" t="b">
        <v>0</v>
      </c>
      <c r="K69" s="4" t="b">
        <f>IF(COUNTIF($B$2:$B69,B69)&gt;1,TRUE,FALSE)</f>
        <v>0</v>
      </c>
      <c r="L69" t="str">
        <f>IF(
K69,"p["""&amp;B69&amp;"""].update({"&amp;""""&amp;C69&amp;""":{"&amp;_xlfn.CONCAT(N69:T69)&amp;"}})","p.update("&amp;M69&amp;")"
)</f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>"{"&amp;""""&amp;B69
&amp;""":{"&amp;""""&amp;C69&amp;""":{"&amp;_xlfn.CONCAT(N69:T69)&amp;"}}}"</f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6"/>
        <v>"type":"yesno",</v>
      </c>
      <c r="O69" t="str">
        <f t="shared" si="7"/>
        <v>"subtype":"yesno",</v>
      </c>
      <c r="P69" t="str">
        <f t="shared" si="8"/>
        <v>"indent":2,</v>
      </c>
      <c r="Q69" t="str">
        <f t="shared" si="5"/>
        <v>"default_value":"yes",</v>
      </c>
      <c r="R69" t="str">
        <f t="shared" si="9"/>
        <v>"docs_url":"https://looker.com/docs/r/lookml/types/dimension/can_filter?version=7.14&amp;lookml=new",</v>
      </c>
      <c r="S69" t="str">
        <f t="shared" si="10"/>
        <v>"has_allowed_values":False,</v>
      </c>
      <c r="T69" t="str">
        <f t="shared" si="11"/>
        <v>"allowed_values":""</v>
      </c>
    </row>
    <row r="70" spans="1:20" ht="13" x14ac:dyDescent="0.15">
      <c r="A70" s="7">
        <v>77</v>
      </c>
      <c r="B70" s="6" t="s">
        <v>7</v>
      </c>
      <c r="C70" s="6" t="s">
        <v>12</v>
      </c>
      <c r="D70" s="4" t="s">
        <v>540</v>
      </c>
      <c r="E70" s="4" t="s">
        <v>540</v>
      </c>
      <c r="F70" s="4">
        <v>2</v>
      </c>
      <c r="H70" s="4" t="s">
        <v>206</v>
      </c>
      <c r="I70" s="4" t="b">
        <v>0</v>
      </c>
      <c r="K70" s="4" t="b">
        <f>IF(COUNTIF($B$2:$B70,B70)&gt;1,TRUE,FALSE)</f>
        <v>0</v>
      </c>
      <c r="L70" t="str">
        <f>IF(
K70,"p["""&amp;B70&amp;"""].update({"&amp;""""&amp;C70&amp;""":{"&amp;_xlfn.CONCAT(N70:T70)&amp;"}})","p.update("&amp;M70&amp;")"
)</f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>"{"&amp;""""&amp;B70
&amp;""":{"&amp;""""&amp;C70&amp;""":{"&amp;_xlfn.CONCAT(N70:T70)&amp;"}}}"</f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6"/>
        <v>"type":"anonymous_construct",</v>
      </c>
      <c r="O70" t="str">
        <f t="shared" si="7"/>
        <v>"subtype":"anonymous_construct",</v>
      </c>
      <c r="P70" t="str">
        <f t="shared" si="8"/>
        <v>"indent":2,</v>
      </c>
      <c r="Q70" t="str">
        <f t="shared" si="5"/>
        <v>"default_value":"",</v>
      </c>
      <c r="R70" t="str">
        <f t="shared" si="9"/>
        <v>"docs_url":"https://looker.com/docs/r/lookml/types/dimension/case?version=7.14&amp;lookml=new",</v>
      </c>
      <c r="S70" t="str">
        <f t="shared" si="10"/>
        <v>"has_allowed_values":False,</v>
      </c>
      <c r="T70" t="str">
        <f t="shared" si="11"/>
        <v>"allowed_values":""</v>
      </c>
    </row>
    <row r="71" spans="1:20" ht="13" x14ac:dyDescent="0.15">
      <c r="A71" s="7">
        <v>78</v>
      </c>
      <c r="B71" s="6" t="s">
        <v>8</v>
      </c>
      <c r="C71" s="6" t="s">
        <v>12</v>
      </c>
      <c r="D71" s="4" t="s">
        <v>569</v>
      </c>
      <c r="E71" s="4" t="s">
        <v>569</v>
      </c>
      <c r="F71" s="4">
        <v>2</v>
      </c>
      <c r="G71" s="4" t="s">
        <v>605</v>
      </c>
      <c r="H71" s="4" t="s">
        <v>207</v>
      </c>
      <c r="I71" s="4" t="b">
        <v>0</v>
      </c>
      <c r="K71" s="4" t="b">
        <f>IF(COUNTIF($B$2:$B71,B71)&gt;1,TRUE,FALSE)</f>
        <v>1</v>
      </c>
      <c r="L71" t="str">
        <f>IF(
K71,"p["""&amp;B71&amp;"""].update({"&amp;""""&amp;C71&amp;""":{"&amp;_xlfn.CONCAT(N71:T71)&amp;"}})","p.update("&amp;M71&amp;")"
)</f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>"{"&amp;""""&amp;B71
&amp;""":{"&amp;""""&amp;C71&amp;""":{"&amp;_xlfn.CONCAT(N71:T71)&amp;"}}}"</f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6"/>
        <v>"type":"yesno",</v>
      </c>
      <c r="O71" t="str">
        <f t="shared" si="7"/>
        <v>"subtype":"yesno",</v>
      </c>
      <c r="P71" t="str">
        <f t="shared" si="8"/>
        <v>"indent":2,</v>
      </c>
      <c r="Q71" t="str">
        <f t="shared" si="5"/>
        <v>"default_value":"yes",</v>
      </c>
      <c r="R71" t="str">
        <f t="shared" si="9"/>
        <v>"docs_url":"https://looker.com/docs/r/lookml/types/dimension/case_sensitive?version=7.14&amp;lookml=new",</v>
      </c>
      <c r="S71" t="str">
        <f t="shared" si="10"/>
        <v>"has_allowed_values":False,</v>
      </c>
      <c r="T71" t="str">
        <f t="shared" si="11"/>
        <v>"allowed_values":""</v>
      </c>
    </row>
    <row r="72" spans="1:20" ht="13" x14ac:dyDescent="0.15">
      <c r="A72" s="7">
        <v>79</v>
      </c>
      <c r="B72" s="6" t="s">
        <v>10</v>
      </c>
      <c r="C72" s="6" t="s">
        <v>12</v>
      </c>
      <c r="D72" s="4" t="s">
        <v>551</v>
      </c>
      <c r="E72" s="4" t="s">
        <v>551</v>
      </c>
      <c r="F72" s="4">
        <v>2</v>
      </c>
      <c r="G72" s="4" t="s">
        <v>575</v>
      </c>
      <c r="H72" s="4" t="s">
        <v>208</v>
      </c>
      <c r="I72" s="4" t="b">
        <v>1</v>
      </c>
      <c r="J72" s="4" t="s">
        <v>576</v>
      </c>
      <c r="K72" s="4" t="b">
        <f>IF(COUNTIF($B$2:$B72,B72)&gt;1,TRUE,FALSE)</f>
        <v>0</v>
      </c>
      <c r="L72" t="str">
        <f>IF(
K72,"p["""&amp;B72&amp;"""].update({"&amp;""""&amp;C72&amp;""":{"&amp;_xlfn.CONCAT(N72:T72)&amp;"}})","p.update("&amp;M72&amp;")"
)</f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>"{"&amp;""""&amp;B72
&amp;""":{"&amp;""""&amp;C72&amp;""":{"&amp;_xlfn.CONCAT(N72:T72)&amp;"}}}"</f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6"/>
        <v>"type":"options",</v>
      </c>
      <c r="O72" t="str">
        <f t="shared" si="7"/>
        <v>"subtype":"options",</v>
      </c>
      <c r="P72" t="str">
        <f t="shared" si="8"/>
        <v>"indent":2,</v>
      </c>
      <c r="Q72" t="str">
        <f t="shared" si="5"/>
        <v>"default_value":"timestamp",</v>
      </c>
      <c r="R72" t="str">
        <f t="shared" si="9"/>
        <v>"docs_url":"https://looker.com/docs/r/lookml/types/dimension/datatype?version=7.14&amp;lookml=new",</v>
      </c>
      <c r="S72" t="str">
        <f t="shared" si="10"/>
        <v>"has_allowed_values":True,</v>
      </c>
      <c r="T72" t="str">
        <f t="shared" si="11"/>
        <v>"allowed_values":["timestamp","epoch","date","datetime","timestamp", "yyyymmdd"]</v>
      </c>
    </row>
    <row r="73" spans="1:20" ht="13" x14ac:dyDescent="0.15">
      <c r="A73" s="7">
        <v>80</v>
      </c>
      <c r="B73" s="6" t="s">
        <v>13</v>
      </c>
      <c r="C73" s="6" t="s">
        <v>12</v>
      </c>
      <c r="D73" s="4" t="s">
        <v>17</v>
      </c>
      <c r="E73" s="4" t="s">
        <v>596</v>
      </c>
      <c r="F73" s="4">
        <v>2</v>
      </c>
      <c r="H73" s="4" t="s">
        <v>209</v>
      </c>
      <c r="I73" s="4" t="b">
        <v>0</v>
      </c>
      <c r="K73" s="4" t="b">
        <f>IF(COUNTIF($B$2:$B73,B73)&gt;1,TRUE,FALSE)</f>
        <v>1</v>
      </c>
      <c r="L73" t="str">
        <f>IF(
K73,"p["""&amp;B73&amp;"""].update({"&amp;""""&amp;C73&amp;""":{"&amp;_xlfn.CONCAT(N73:T73)&amp;"}})","p.update("&amp;M73&amp;")"
)</f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>"{"&amp;""""&amp;B73
&amp;""":{"&amp;""""&amp;C73&amp;""":{"&amp;_xlfn.CONCAT(N73:T73)&amp;"}}}"</f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6"/>
        <v>"type":"list_unquoted",</v>
      </c>
      <c r="O73" t="str">
        <f t="shared" si="7"/>
        <v>"subtype":"field-ref",</v>
      </c>
      <c r="P73" t="str">
        <f t="shared" si="8"/>
        <v>"indent":2,</v>
      </c>
      <c r="Q73" t="str">
        <f t="shared" si="5"/>
        <v>"default_value":"",</v>
      </c>
      <c r="R73" t="str">
        <f t="shared" si="9"/>
        <v>"docs_url":"https://looker.com/docs/r/lookml/types/dimension/drill_fields?version=7.14&amp;lookml=new",</v>
      </c>
      <c r="S73" t="str">
        <f t="shared" si="10"/>
        <v>"has_allowed_values":False,</v>
      </c>
      <c r="T73" t="str">
        <f t="shared" si="11"/>
        <v>"allowed_values":""</v>
      </c>
    </row>
    <row r="74" spans="1:20" ht="13" x14ac:dyDescent="0.15">
      <c r="A74" s="7">
        <v>81</v>
      </c>
      <c r="B74" s="6" t="s">
        <v>14</v>
      </c>
      <c r="C74" s="6" t="s">
        <v>12</v>
      </c>
      <c r="D74" s="4" t="s">
        <v>17</v>
      </c>
      <c r="E74" s="1" t="s">
        <v>599</v>
      </c>
      <c r="F74" s="4">
        <v>2</v>
      </c>
      <c r="H74" s="4" t="s">
        <v>210</v>
      </c>
      <c r="I74" s="4" t="b">
        <v>0</v>
      </c>
      <c r="K74" s="4" t="b">
        <f>IF(COUNTIF($B$2:$B74,B74)&gt;1,TRUE,FALSE)</f>
        <v>0</v>
      </c>
      <c r="L74" t="str">
        <f>IF(
K74,"p["""&amp;B74&amp;"""].update({"&amp;""""&amp;C74&amp;""":{"&amp;_xlfn.CONCAT(N74:T74)&amp;"}})","p.update("&amp;M74&amp;")"
)</f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>"{"&amp;""""&amp;B74
&amp;""":{"&amp;""""&amp;C74&amp;""":{"&amp;_xlfn.CONCAT(N74:T74)&amp;"}}}"</f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6"/>
        <v>"type":"string_unquoted",</v>
      </c>
      <c r="O74" t="str">
        <f t="shared" si="7"/>
        <v>"subtype":"field-ref",</v>
      </c>
      <c r="P74" t="str">
        <f t="shared" si="8"/>
        <v>"indent":2,</v>
      </c>
      <c r="Q74" t="str">
        <f t="shared" si="5"/>
        <v>"default_value":"",</v>
      </c>
      <c r="R74" t="str">
        <f t="shared" si="9"/>
        <v>"docs_url":"https://looker.com/docs/r/lookml/types/dimension/end_location_field?version=7.14&amp;lookml=new",</v>
      </c>
      <c r="S74" t="str">
        <f t="shared" si="10"/>
        <v>"has_allowed_values":False,</v>
      </c>
      <c r="T74" t="str">
        <f t="shared" si="11"/>
        <v>"allowed_values":""</v>
      </c>
    </row>
    <row r="75" spans="1:20" ht="13" x14ac:dyDescent="0.15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592</v>
      </c>
      <c r="H75" s="4" t="s">
        <v>211</v>
      </c>
      <c r="I75" s="4" t="b">
        <v>0</v>
      </c>
      <c r="K75" s="4" t="b">
        <f>IF(COUNTIF($B$2:$B75,B75)&gt;1,TRUE,FALSE)</f>
        <v>0</v>
      </c>
      <c r="L75" t="str">
        <f>IF(
K75,"p["""&amp;B75&amp;"""].update({"&amp;""""&amp;C75&amp;""":{"&amp;_xlfn.CONCAT(N75:T75)&amp;"}})","p.update("&amp;M75&amp;")"
)</f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>"{"&amp;""""&amp;B75
&amp;""":{"&amp;""""&amp;C75&amp;""":{"&amp;_xlfn.CONCAT(N75:T75)&amp;"}}}"</f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6"/>
        <v>"type":"string",</v>
      </c>
      <c r="O75" t="str">
        <f t="shared" si="7"/>
        <v>"subtype":"string",</v>
      </c>
      <c r="P75" t="str">
        <f t="shared" si="8"/>
        <v>"indent":2,</v>
      </c>
      <c r="Q75" t="str">
        <f t="shared" si="5"/>
        <v>"default_value":"",</v>
      </c>
      <c r="R75" t="str">
        <f t="shared" si="9"/>
        <v>"docs_url":"https://looker.com/docs/r/lookml/types/dimension/fanout_on?version=7.14&amp;lookml=new",</v>
      </c>
      <c r="S75" t="str">
        <f t="shared" si="10"/>
        <v>"has_allowed_values":False,</v>
      </c>
      <c r="T75" t="str">
        <f t="shared" si="11"/>
        <v>"allowed_values":""</v>
      </c>
    </row>
    <row r="76" spans="1:20" ht="13" x14ac:dyDescent="0.15">
      <c r="A76" s="7">
        <v>83</v>
      </c>
      <c r="B76" s="6" t="s">
        <v>18</v>
      </c>
      <c r="C76" s="6" t="s">
        <v>12</v>
      </c>
      <c r="D76" s="4" t="s">
        <v>569</v>
      </c>
      <c r="E76" s="4" t="s">
        <v>569</v>
      </c>
      <c r="F76" s="4">
        <v>2</v>
      </c>
      <c r="G76" s="4" t="s">
        <v>605</v>
      </c>
      <c r="H76" s="4" t="s">
        <v>212</v>
      </c>
      <c r="I76" s="4" t="b">
        <v>0</v>
      </c>
      <c r="K76" s="4" t="b">
        <f>IF(COUNTIF($B$2:$B76,B76)&gt;1,TRUE,FALSE)</f>
        <v>0</v>
      </c>
      <c r="L76" t="str">
        <f>IF(
K76,"p["""&amp;B76&amp;"""].update({"&amp;""""&amp;C76&amp;""":{"&amp;_xlfn.CONCAT(N76:T76)&amp;"}})","p.update("&amp;M76&amp;")"
)</f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>"{"&amp;""""&amp;B76
&amp;""":{"&amp;""""&amp;C76&amp;""":{"&amp;_xlfn.CONCAT(N76:T76)&amp;"}}}"</f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6"/>
        <v>"type":"yesno",</v>
      </c>
      <c r="O76" t="str">
        <f t="shared" si="7"/>
        <v>"subtype":"yesno",</v>
      </c>
      <c r="P76" t="str">
        <f t="shared" si="8"/>
        <v>"indent":2,</v>
      </c>
      <c r="Q76" t="str">
        <f t="shared" ref="Q76:Q139" si="12">"""default_value"":"&amp;IF(G76="""""",""""",",IF(LEFT(G76,1)="[",G76,""""&amp;G76&amp;"""")&amp;",")</f>
        <v>"default_value":"yes",</v>
      </c>
      <c r="R76" t="str">
        <f t="shared" si="9"/>
        <v>"docs_url":"https://looker.com/docs/r/lookml/types/dimension/full_suggestions?version=7.14&amp;lookml=new",</v>
      </c>
      <c r="S76" t="str">
        <f t="shared" si="10"/>
        <v>"has_allowed_values":False,</v>
      </c>
      <c r="T76" t="str">
        <f t="shared" si="11"/>
        <v>"allowed_values":""</v>
      </c>
    </row>
    <row r="77" spans="1:20" ht="13" x14ac:dyDescent="0.15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592</v>
      </c>
      <c r="H77" s="4" t="s">
        <v>213</v>
      </c>
      <c r="I77" s="4" t="b">
        <v>0</v>
      </c>
      <c r="K77" s="4" t="b">
        <f>IF(COUNTIF($B$2:$B77,B77)&gt;1,TRUE,FALSE)</f>
        <v>1</v>
      </c>
      <c r="L77" t="str">
        <f>IF(
K77,"p["""&amp;B77&amp;"""].update({"&amp;""""&amp;C77&amp;""":{"&amp;_xlfn.CONCAT(N77:T77)&amp;"}})","p.update("&amp;M77&amp;")"
)</f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>"{"&amp;""""&amp;B77
&amp;""":{"&amp;""""&amp;C77&amp;""":{"&amp;_xlfn.CONCAT(N77:T77)&amp;"}}}"</f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6"/>
        <v>"type":"string",</v>
      </c>
      <c r="O77" t="str">
        <f t="shared" si="7"/>
        <v>"subtype":"possibly-localized-string",</v>
      </c>
      <c r="P77" t="str">
        <f t="shared" si="8"/>
        <v>"indent":2,</v>
      </c>
      <c r="Q77" t="str">
        <f t="shared" si="12"/>
        <v>"default_value":"",</v>
      </c>
      <c r="R77" t="str">
        <f t="shared" si="9"/>
        <v>"docs_url":"https://looker.com/docs/r/lookml/types/dimension/group_label?version=7.14&amp;lookml=new",</v>
      </c>
      <c r="S77" t="str">
        <f t="shared" si="10"/>
        <v>"has_allowed_values":False,</v>
      </c>
      <c r="T77" t="str">
        <f t="shared" si="11"/>
        <v>"allowed_values":""</v>
      </c>
    </row>
    <row r="78" spans="1:20" ht="13" x14ac:dyDescent="0.15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592</v>
      </c>
      <c r="H78" s="4" t="s">
        <v>214</v>
      </c>
      <c r="I78" s="4" t="b">
        <v>0</v>
      </c>
      <c r="K78" s="4" t="b">
        <f>IF(COUNTIF($B$2:$B78,B78)&gt;1,TRUE,FALSE)</f>
        <v>0</v>
      </c>
      <c r="L78" t="str">
        <f>IF(
K78,"p["""&amp;B78&amp;"""].update({"&amp;""""&amp;C78&amp;""":{"&amp;_xlfn.CONCAT(N78:T78)&amp;"}})","p.update("&amp;M78&amp;")"
)</f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>"{"&amp;""""&amp;B78
&amp;""":{"&amp;""""&amp;C78&amp;""":{"&amp;_xlfn.CONCAT(N78:T78)&amp;"}}}"</f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6"/>
        <v>"type":"string",</v>
      </c>
      <c r="O78" t="str">
        <f t="shared" si="7"/>
        <v>"subtype":"possibly-localized-string",</v>
      </c>
      <c r="P78" t="str">
        <f t="shared" si="8"/>
        <v>"indent":2,</v>
      </c>
      <c r="Q78" t="str">
        <f t="shared" si="12"/>
        <v>"default_value":"",</v>
      </c>
      <c r="R78" t="str">
        <f t="shared" si="9"/>
        <v>"docs_url":"https://looker.com/docs/r/lookml/types/dimension/group_item_label?version=7.14&amp;lookml=new",</v>
      </c>
      <c r="S78" t="str">
        <f t="shared" si="10"/>
        <v>"has_allowed_values":False,</v>
      </c>
      <c r="T78" t="str">
        <f t="shared" si="11"/>
        <v>"allowed_values":""</v>
      </c>
    </row>
    <row r="79" spans="1:20" ht="13" x14ac:dyDescent="0.15">
      <c r="A79" s="7">
        <v>86</v>
      </c>
      <c r="B79" s="6" t="s">
        <v>22</v>
      </c>
      <c r="C79" s="6" t="s">
        <v>12</v>
      </c>
      <c r="D79" s="4" t="s">
        <v>614</v>
      </c>
      <c r="E79" s="4" t="s">
        <v>22</v>
      </c>
      <c r="F79" s="4">
        <v>2</v>
      </c>
      <c r="G79" s="4" t="s">
        <v>592</v>
      </c>
      <c r="H79" s="4" t="s">
        <v>215</v>
      </c>
      <c r="I79" s="4" t="b">
        <v>0</v>
      </c>
      <c r="K79" s="4" t="b">
        <f>IF(COUNTIF($B$2:$B79,B79)&gt;1,TRUE,FALSE)</f>
        <v>0</v>
      </c>
      <c r="L79" t="str">
        <f>IF(
K79,"p["""&amp;B79&amp;"""].update({"&amp;""""&amp;C79&amp;""":{"&amp;_xlfn.CONCAT(N79:T79)&amp;"}})","p.update("&amp;M79&amp;")"
)</f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>"{"&amp;""""&amp;B79
&amp;""":{"&amp;""""&amp;C79&amp;""":{"&amp;_xlfn.CONCAT(N79:T79)&amp;"}}}"</f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6"/>
        <v>"type":"html",</v>
      </c>
      <c r="O79" t="str">
        <f t="shared" si="7"/>
        <v>"subtype":"html-block ",</v>
      </c>
      <c r="P79" t="str">
        <f t="shared" si="8"/>
        <v>"indent":2,</v>
      </c>
      <c r="Q79" t="str">
        <f t="shared" si="12"/>
        <v>"default_value":"",</v>
      </c>
      <c r="R79" t="str">
        <f t="shared" si="9"/>
        <v>"docs_url":"https://looker.com/docs/r/lookml/types/dimension/html?version=7.14&amp;lookml=new",</v>
      </c>
      <c r="S79" t="str">
        <f t="shared" si="10"/>
        <v>"has_allowed_values":False,</v>
      </c>
      <c r="T79" t="str">
        <f t="shared" si="11"/>
        <v>"allowed_values":""</v>
      </c>
    </row>
    <row r="80" spans="1:20" ht="13" x14ac:dyDescent="0.15">
      <c r="A80" s="7">
        <v>87</v>
      </c>
      <c r="B80" s="6" t="s">
        <v>24</v>
      </c>
      <c r="C80" s="6" t="s">
        <v>12</v>
      </c>
      <c r="D80" s="4" t="s">
        <v>17</v>
      </c>
      <c r="E80" s="1" t="s">
        <v>599</v>
      </c>
      <c r="F80" s="4">
        <v>2</v>
      </c>
      <c r="H80" s="4" t="s">
        <v>216</v>
      </c>
      <c r="I80" s="4" t="b">
        <v>0</v>
      </c>
      <c r="K80" s="4" t="b">
        <f>IF(COUNTIF($B$2:$B80,B80)&gt;1,TRUE,FALSE)</f>
        <v>0</v>
      </c>
      <c r="L80" t="str">
        <f>IF(
K80,"p["""&amp;B80&amp;"""].update({"&amp;""""&amp;C80&amp;""":{"&amp;_xlfn.CONCAT(N80:T80)&amp;"}})","p.update("&amp;M80&amp;")"
)</f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>"{"&amp;""""&amp;B80
&amp;""":{"&amp;""""&amp;C80&amp;""":{"&amp;_xlfn.CONCAT(N80:T80)&amp;"}}}"</f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6"/>
        <v>"type":"string_unquoted",</v>
      </c>
      <c r="O80" t="str">
        <f t="shared" si="7"/>
        <v>"subtype":"field-ref",</v>
      </c>
      <c r="P80" t="str">
        <f t="shared" si="8"/>
        <v>"indent":2,</v>
      </c>
      <c r="Q80" t="str">
        <f t="shared" si="12"/>
        <v>"default_value":"",</v>
      </c>
      <c r="R80" t="str">
        <f t="shared" si="9"/>
        <v>"docs_url":"https://looker.com/docs/r/lookml/types/dimension/label_from_parameter?version=7.14&amp;lookml=new",</v>
      </c>
      <c r="S80" t="str">
        <f t="shared" si="10"/>
        <v>"has_allowed_values":False,</v>
      </c>
      <c r="T80" t="str">
        <f t="shared" si="11"/>
        <v>"allowed_values":""</v>
      </c>
    </row>
    <row r="81" spans="1:20" ht="13" x14ac:dyDescent="0.15">
      <c r="A81" s="7">
        <v>88</v>
      </c>
      <c r="B81" s="6" t="s">
        <v>25</v>
      </c>
      <c r="C81" s="6" t="s">
        <v>12</v>
      </c>
      <c r="D81" s="4" t="s">
        <v>541</v>
      </c>
      <c r="E81" s="4" t="s">
        <v>541</v>
      </c>
      <c r="F81" s="4">
        <v>2</v>
      </c>
      <c r="H81" s="4" t="s">
        <v>217</v>
      </c>
      <c r="I81" s="4" t="b">
        <v>0</v>
      </c>
      <c r="K81" s="4" t="b">
        <f>IF(COUNTIF($B$2:$B81,B81)&gt;1,TRUE,FALSE)</f>
        <v>0</v>
      </c>
      <c r="L81" t="str">
        <f>IF(
K81,"p["""&amp;B81&amp;"""].update({"&amp;""""&amp;C81&amp;""":{"&amp;_xlfn.CONCAT(N81:T81)&amp;"}})","p.update("&amp;M81&amp;")"
)</f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>"{"&amp;""""&amp;B81
&amp;""":{"&amp;""""&amp;C81&amp;""":{"&amp;_xlfn.CONCAT(N81:T81)&amp;"}}}"</f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6"/>
        <v>"type":"anonymous_construct_plural",</v>
      </c>
      <c r="O81" t="str">
        <f t="shared" si="7"/>
        <v>"subtype":"anonymous_construct_plural",</v>
      </c>
      <c r="P81" t="str">
        <f t="shared" si="8"/>
        <v>"indent":2,</v>
      </c>
      <c r="Q81" t="str">
        <f t="shared" si="12"/>
        <v>"default_value":"",</v>
      </c>
      <c r="R81" t="str">
        <f t="shared" si="9"/>
        <v>"docs_url":"https://looker.com/docs/r/lookml/types/dimension/link?version=7.14&amp;lookml=new",</v>
      </c>
      <c r="S81" t="str">
        <f t="shared" si="10"/>
        <v>"has_allowed_values":False,</v>
      </c>
      <c r="T81" t="str">
        <f t="shared" si="11"/>
        <v>"allowed_values":""</v>
      </c>
    </row>
    <row r="82" spans="1:20" ht="13" x14ac:dyDescent="0.15">
      <c r="A82" s="7">
        <v>89</v>
      </c>
      <c r="B82" s="6" t="s">
        <v>27</v>
      </c>
      <c r="C82" s="6" t="s">
        <v>12</v>
      </c>
      <c r="D82" s="4" t="s">
        <v>26</v>
      </c>
      <c r="E82" s="1" t="s">
        <v>599</v>
      </c>
      <c r="F82" s="4">
        <v>2</v>
      </c>
      <c r="H82" s="4" t="s">
        <v>218</v>
      </c>
      <c r="I82" s="4" t="b">
        <v>0</v>
      </c>
      <c r="K82" s="4" t="b">
        <f>IF(COUNTIF($B$2:$B82,B82)&gt;1,TRUE,FALSE)</f>
        <v>0</v>
      </c>
      <c r="L82" t="str">
        <f>IF(
K82,"p["""&amp;B82&amp;"""].update({"&amp;""""&amp;C82&amp;""":{"&amp;_xlfn.CONCAT(N82:T82)&amp;"}})","p.update("&amp;M82&amp;")"
)</f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>"{"&amp;""""&amp;B82
&amp;""":{"&amp;""""&amp;C82&amp;""":{"&amp;_xlfn.CONCAT(N82:T82)&amp;"}}}"</f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6"/>
        <v>"type":"string_unquoted",</v>
      </c>
      <c r="O82" t="str">
        <f t="shared" si="7"/>
        <v>"subtype":"map-layer-ref",</v>
      </c>
      <c r="P82" t="str">
        <f t="shared" si="8"/>
        <v>"indent":2,</v>
      </c>
      <c r="Q82" t="str">
        <f t="shared" si="12"/>
        <v>"default_value":"",</v>
      </c>
      <c r="R82" t="str">
        <f t="shared" si="9"/>
        <v>"docs_url":"https://looker.com/docs/r/lookml/types/dimension/map_layer_name?version=7.14&amp;lookml=new",</v>
      </c>
      <c r="S82" t="str">
        <f t="shared" si="10"/>
        <v>"has_allowed_values":False,</v>
      </c>
      <c r="T82" t="str">
        <f t="shared" si="11"/>
        <v>"allowed_values":""</v>
      </c>
    </row>
    <row r="83" spans="1:20" ht="13" x14ac:dyDescent="0.15">
      <c r="A83" s="7">
        <v>90</v>
      </c>
      <c r="B83" s="6" t="s">
        <v>28</v>
      </c>
      <c r="C83" s="6" t="s">
        <v>12</v>
      </c>
      <c r="D83" s="4" t="s">
        <v>17</v>
      </c>
      <c r="E83" s="1" t="s">
        <v>599</v>
      </c>
      <c r="F83" s="4">
        <v>2</v>
      </c>
      <c r="H83" s="4" t="s">
        <v>219</v>
      </c>
      <c r="I83" s="4" t="b">
        <v>0</v>
      </c>
      <c r="K83" s="4" t="b">
        <f>IF(COUNTIF($B$2:$B83,B83)&gt;1,TRUE,FALSE)</f>
        <v>0</v>
      </c>
      <c r="L83" t="str">
        <f>IF(
K83,"p["""&amp;B83&amp;"""].update({"&amp;""""&amp;C83&amp;""":{"&amp;_xlfn.CONCAT(N83:T83)&amp;"}})","p.update("&amp;M83&amp;")"
)</f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>"{"&amp;""""&amp;B83
&amp;""":{"&amp;""""&amp;C83&amp;""":{"&amp;_xlfn.CONCAT(N83:T83)&amp;"}}}"</f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6"/>
        <v>"type":"string_unquoted",</v>
      </c>
      <c r="O83" t="str">
        <f t="shared" si="7"/>
        <v>"subtype":"field-ref",</v>
      </c>
      <c r="P83" t="str">
        <f t="shared" si="8"/>
        <v>"indent":2,</v>
      </c>
      <c r="Q83" t="str">
        <f t="shared" si="12"/>
        <v>"default_value":"",</v>
      </c>
      <c r="R83" t="str">
        <f t="shared" si="9"/>
        <v>"docs_url":"https://looker.com/docs/r/lookml/types/dimension/order_by_field?version=7.14&amp;lookml=new",</v>
      </c>
      <c r="S83" t="str">
        <f t="shared" si="10"/>
        <v>"has_allowed_values":False,</v>
      </c>
      <c r="T83" t="str">
        <f t="shared" si="11"/>
        <v>"allowed_values":""</v>
      </c>
    </row>
    <row r="84" spans="1:20" ht="13" x14ac:dyDescent="0.15">
      <c r="A84" s="7">
        <v>91</v>
      </c>
      <c r="B84" s="6" t="s">
        <v>30</v>
      </c>
      <c r="C84" s="6" t="s">
        <v>12</v>
      </c>
      <c r="D84" s="4" t="s">
        <v>569</v>
      </c>
      <c r="E84" s="4" t="s">
        <v>569</v>
      </c>
      <c r="F84" s="4">
        <v>2</v>
      </c>
      <c r="G84" s="4" t="s">
        <v>604</v>
      </c>
      <c r="H84" s="4" t="s">
        <v>220</v>
      </c>
      <c r="I84" s="4" t="b">
        <v>0</v>
      </c>
      <c r="K84" s="4" t="b">
        <f>IF(COUNTIF($B$2:$B84,B84)&gt;1,TRUE,FALSE)</f>
        <v>0</v>
      </c>
      <c r="L84" t="str">
        <f>IF(
K84,"p["""&amp;B84&amp;"""].update({"&amp;""""&amp;C84&amp;""":{"&amp;_xlfn.CONCAT(N84:T84)&amp;"}})","p.update("&amp;M84&amp;")"
)</f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>"{"&amp;""""&amp;B84
&amp;""":{"&amp;""""&amp;C84&amp;""":{"&amp;_xlfn.CONCAT(N84:T84)&amp;"}}}"</f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6"/>
        <v>"type":"yesno",</v>
      </c>
      <c r="O84" t="str">
        <f t="shared" si="7"/>
        <v>"subtype":"yesno",</v>
      </c>
      <c r="P84" t="str">
        <f t="shared" si="8"/>
        <v>"indent":2,</v>
      </c>
      <c r="Q84" t="str">
        <f t="shared" si="12"/>
        <v>"default_value":"no",</v>
      </c>
      <c r="R84" t="str">
        <f t="shared" si="9"/>
        <v>"docs_url":"https://looker.com/docs/r/lookml/types/dimension/primary_key?version=7.14&amp;lookml=new",</v>
      </c>
      <c r="S84" t="str">
        <f t="shared" si="10"/>
        <v>"has_allowed_values":False,</v>
      </c>
      <c r="T84" t="str">
        <f t="shared" si="11"/>
        <v>"allowed_values":""</v>
      </c>
    </row>
    <row r="85" spans="1:20" ht="13" x14ac:dyDescent="0.15">
      <c r="A85" s="7">
        <v>92</v>
      </c>
      <c r="B85" s="6" t="s">
        <v>32</v>
      </c>
      <c r="C85" s="6" t="s">
        <v>12</v>
      </c>
      <c r="D85" s="4" t="s">
        <v>17</v>
      </c>
      <c r="E85" s="4" t="s">
        <v>596</v>
      </c>
      <c r="F85" s="4">
        <v>2</v>
      </c>
      <c r="H85" s="4" t="s">
        <v>221</v>
      </c>
      <c r="I85" s="4" t="b">
        <v>0</v>
      </c>
      <c r="K85" s="4" t="b">
        <f>IF(COUNTIF($B$2:$B85,B85)&gt;1,TRUE,FALSE)</f>
        <v>0</v>
      </c>
      <c r="L85" t="str">
        <f>IF(
K85,"p["""&amp;B85&amp;"""].update({"&amp;""""&amp;C85&amp;""":{"&amp;_xlfn.CONCAT(N85:T85)&amp;"}})","p.update("&amp;M85&amp;")"
)</f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>"{"&amp;""""&amp;B85
&amp;""":{"&amp;""""&amp;C85&amp;""":{"&amp;_xlfn.CONCAT(N85:T85)&amp;"}}}"</f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6"/>
        <v>"type":"list_unquoted",</v>
      </c>
      <c r="O85" t="str">
        <f t="shared" si="7"/>
        <v>"subtype":"field-ref",</v>
      </c>
      <c r="P85" t="str">
        <f t="shared" si="8"/>
        <v>"indent":2,</v>
      </c>
      <c r="Q85" t="str">
        <f t="shared" si="12"/>
        <v>"default_value":"",</v>
      </c>
      <c r="R85" t="str">
        <f t="shared" si="9"/>
        <v>"docs_url":"https://looker.com/docs/r/lookml/types/dimension/required_fields?version=7.14&amp;lookml=new",</v>
      </c>
      <c r="S85" t="str">
        <f t="shared" si="10"/>
        <v>"has_allowed_values":False,</v>
      </c>
      <c r="T85" t="str">
        <f t="shared" si="11"/>
        <v>"allowed_values":""</v>
      </c>
    </row>
    <row r="86" spans="1:20" ht="13" x14ac:dyDescent="0.15">
      <c r="A86" s="7">
        <v>93</v>
      </c>
      <c r="B86" s="6" t="s">
        <v>33</v>
      </c>
      <c r="C86" s="6" t="s">
        <v>12</v>
      </c>
      <c r="D86" s="4" t="s">
        <v>569</v>
      </c>
      <c r="E86" s="4" t="s">
        <v>569</v>
      </c>
      <c r="F86" s="4">
        <v>2</v>
      </c>
      <c r="G86" s="4" t="s">
        <v>604</v>
      </c>
      <c r="H86" s="4" t="s">
        <v>222</v>
      </c>
      <c r="I86" s="4" t="b">
        <v>0</v>
      </c>
      <c r="K86" s="4" t="b">
        <f>IF(COUNTIF($B$2:$B86,B86)&gt;1,TRUE,FALSE)</f>
        <v>0</v>
      </c>
      <c r="L86" t="str">
        <f>IF(
K86,"p["""&amp;B86&amp;"""].update({"&amp;""""&amp;C86&amp;""":{"&amp;_xlfn.CONCAT(N86:T86)&amp;"}})","p.update("&amp;M86&amp;")"
)</f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>"{"&amp;""""&amp;B86
&amp;""":{"&amp;""""&amp;C86&amp;""":{"&amp;_xlfn.CONCAT(N86:T86)&amp;"}}}"</f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6"/>
        <v>"type":"yesno",</v>
      </c>
      <c r="O86" t="str">
        <f t="shared" si="7"/>
        <v>"subtype":"yesno",</v>
      </c>
      <c r="P86" t="str">
        <f t="shared" si="8"/>
        <v>"indent":2,</v>
      </c>
      <c r="Q86" t="str">
        <f t="shared" si="12"/>
        <v>"default_value":"no",</v>
      </c>
      <c r="R86" t="str">
        <f t="shared" si="9"/>
        <v>"docs_url":"https://looker.com/docs/r/lookml/types/dimension/skip_drill_filter?version=7.14&amp;lookml=new",</v>
      </c>
      <c r="S86" t="str">
        <f t="shared" si="10"/>
        <v>"has_allowed_values":False,</v>
      </c>
      <c r="T86" t="str">
        <f t="shared" si="11"/>
        <v>"allowed_values":""</v>
      </c>
    </row>
    <row r="87" spans="1:20" ht="13" x14ac:dyDescent="0.15">
      <c r="A87" s="7">
        <v>94</v>
      </c>
      <c r="B87" s="6" t="s">
        <v>39</v>
      </c>
      <c r="C87" s="6" t="s">
        <v>12</v>
      </c>
      <c r="D87" s="4" t="s">
        <v>17</v>
      </c>
      <c r="E87" s="1" t="s">
        <v>599</v>
      </c>
      <c r="F87" s="4">
        <v>2</v>
      </c>
      <c r="H87" s="4" t="s">
        <v>223</v>
      </c>
      <c r="I87" s="4" t="b">
        <v>0</v>
      </c>
      <c r="K87" s="4" t="b">
        <f>IF(COUNTIF($B$2:$B87,B87)&gt;1,TRUE,FALSE)</f>
        <v>0</v>
      </c>
      <c r="L87" t="str">
        <f>IF(
K87,"p["""&amp;B87&amp;"""].update({"&amp;""""&amp;C87&amp;""":{"&amp;_xlfn.CONCAT(N87:T87)&amp;"}})","p.update("&amp;M87&amp;")"
)</f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>"{"&amp;""""&amp;B87
&amp;""":{"&amp;""""&amp;C87&amp;""":{"&amp;_xlfn.CONCAT(N87:T87)&amp;"}}}"</f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6"/>
        <v>"type":"string_unquoted",</v>
      </c>
      <c r="O87" t="str">
        <f t="shared" si="7"/>
        <v>"subtype":"field-ref",</v>
      </c>
      <c r="P87" t="str">
        <f t="shared" si="8"/>
        <v>"indent":2,</v>
      </c>
      <c r="Q87" t="str">
        <f t="shared" si="12"/>
        <v>"default_value":"",</v>
      </c>
      <c r="R87" t="str">
        <f t="shared" si="9"/>
        <v>"docs_url":"https://looker.com/docs/r/lookml/types/dimension/start_location_field?version=7.14&amp;lookml=new",</v>
      </c>
      <c r="S87" t="str">
        <f t="shared" si="10"/>
        <v>"has_allowed_values":False,</v>
      </c>
      <c r="T87" t="str">
        <f t="shared" si="11"/>
        <v>"allowed_values":""</v>
      </c>
    </row>
    <row r="88" spans="1:20" ht="13" x14ac:dyDescent="0.15">
      <c r="A88" s="7">
        <v>95</v>
      </c>
      <c r="B88" s="6" t="s">
        <v>46</v>
      </c>
      <c r="C88" s="6" t="s">
        <v>12</v>
      </c>
      <c r="D88" s="4" t="s">
        <v>598</v>
      </c>
      <c r="E88" s="4" t="s">
        <v>598</v>
      </c>
      <c r="F88" s="4">
        <v>2</v>
      </c>
      <c r="H88" s="4" t="s">
        <v>224</v>
      </c>
      <c r="I88" s="4" t="b">
        <v>0</v>
      </c>
      <c r="K88" s="4" t="b">
        <f>IF(COUNTIF($B$2:$B88,B88)&gt;1,TRUE,FALSE)</f>
        <v>1</v>
      </c>
      <c r="L88" t="str">
        <f>IF(
K88,"p["""&amp;B88&amp;"""].update({"&amp;""""&amp;C88&amp;""":{"&amp;_xlfn.CONCAT(N88:T88)&amp;"}})","p.update("&amp;M88&amp;")"
)</f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>"{"&amp;""""&amp;B88
&amp;""":{"&amp;""""&amp;C88&amp;""":{"&amp;_xlfn.CONCAT(N88:T88)&amp;"}}}"</f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6"/>
        <v>"type":"list_quoted",</v>
      </c>
      <c r="O88" t="str">
        <f t="shared" si="7"/>
        <v>"subtype":"list_quoted",</v>
      </c>
      <c r="P88" t="str">
        <f t="shared" si="8"/>
        <v>"indent":2,</v>
      </c>
      <c r="Q88" t="str">
        <f t="shared" si="12"/>
        <v>"default_value":"",</v>
      </c>
      <c r="R88" t="str">
        <f t="shared" si="9"/>
        <v>"docs_url":"https://looker.com/docs/r/lookml/types/dimension/suggestions?version=7.14&amp;lookml=new",</v>
      </c>
      <c r="S88" t="str">
        <f t="shared" si="10"/>
        <v>"has_allowed_values":False,</v>
      </c>
      <c r="T88" t="str">
        <f t="shared" si="11"/>
        <v>"allowed_values":""</v>
      </c>
    </row>
    <row r="89" spans="1:20" ht="13" x14ac:dyDescent="0.15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592</v>
      </c>
      <c r="H89" s="4" t="s">
        <v>225</v>
      </c>
      <c r="I89" s="4" t="b">
        <v>0</v>
      </c>
      <c r="K89" s="4" t="b">
        <f>IF(COUNTIF($B$2:$B89,B89)&gt;1,TRUE,FALSE)</f>
        <v>0</v>
      </c>
      <c r="L89" t="str">
        <f>IF(
K89,"p["""&amp;B89&amp;"""].update({"&amp;""""&amp;C89&amp;""":{"&amp;_xlfn.CONCAT(N89:T89)&amp;"}})","p.update("&amp;M89&amp;")"
)</f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>"{"&amp;""""&amp;B89
&amp;""":{"&amp;""""&amp;C89&amp;""":{"&amp;_xlfn.CONCAT(N89:T89)&amp;"}}}"</f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6"/>
        <v>"type":"string",</v>
      </c>
      <c r="O89" t="str">
        <f t="shared" si="7"/>
        <v>"subtype":"string",</v>
      </c>
      <c r="P89" t="str">
        <f t="shared" si="8"/>
        <v>"indent":2,</v>
      </c>
      <c r="Q89" t="str">
        <f t="shared" si="12"/>
        <v>"default_value":"",</v>
      </c>
      <c r="R89" t="str">
        <f t="shared" si="9"/>
        <v>"docs_url":"https://looker.com/docs/r/lookml/types/dimension/suggest_persist_for?version=7.14&amp;lookml=new",</v>
      </c>
      <c r="S89" t="str">
        <f t="shared" si="10"/>
        <v>"has_allowed_values":False,</v>
      </c>
      <c r="T89" t="str">
        <f t="shared" si="11"/>
        <v>"allowed_values":""</v>
      </c>
    </row>
    <row r="90" spans="1:20" ht="13" x14ac:dyDescent="0.15">
      <c r="A90" s="7">
        <v>97</v>
      </c>
      <c r="B90" s="6" t="s">
        <v>41</v>
      </c>
      <c r="C90" s="6" t="s">
        <v>12</v>
      </c>
      <c r="D90" s="4" t="s">
        <v>551</v>
      </c>
      <c r="E90" s="4" t="s">
        <v>551</v>
      </c>
      <c r="F90" s="4">
        <v>2</v>
      </c>
      <c r="G90" s="4" t="s">
        <v>577</v>
      </c>
      <c r="H90" s="4" t="s">
        <v>226</v>
      </c>
      <c r="I90" s="4" t="b">
        <v>1</v>
      </c>
      <c r="J90" s="4" t="s">
        <v>578</v>
      </c>
      <c r="K90" s="4" t="b">
        <f>IF(COUNTIF($B$2:$B90,B90)&gt;1,TRUE,FALSE)</f>
        <v>0</v>
      </c>
      <c r="L90" t="str">
        <f>IF(
K90,"p["""&amp;B90&amp;"""].update({"&amp;""""&amp;C90&amp;""":{"&amp;_xlfn.CONCAT(N90:T90)&amp;"}})","p.update("&amp;M90&amp;")"
)</f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>"{"&amp;""""&amp;B90
&amp;""":{"&amp;""""&amp;C90&amp;""":{"&amp;_xlfn.CONCAT(N90:T90)&amp;"}}}"</f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6"/>
        <v>"type":"options",</v>
      </c>
      <c r="O90" t="str">
        <f t="shared" si="7"/>
        <v>"subtype":"options",</v>
      </c>
      <c r="P90" t="str">
        <f t="shared" si="8"/>
        <v>"indent":2,</v>
      </c>
      <c r="Q90" t="str">
        <f t="shared" si="12"/>
        <v>"default_value":"classic",</v>
      </c>
      <c r="R90" t="str">
        <f t="shared" si="9"/>
        <v>"docs_url":"https://looker.com/docs/r/lookml/types/dimension/style?version=7.14&amp;lookml=new",</v>
      </c>
      <c r="S90" t="str">
        <f t="shared" si="10"/>
        <v>"has_allowed_values":True,</v>
      </c>
      <c r="T90" t="str">
        <f t="shared" si="11"/>
        <v>"allowed_values":["classic","interval","integer","relational"]</v>
      </c>
    </row>
    <row r="91" spans="1:20" ht="13" x14ac:dyDescent="0.15">
      <c r="A91" s="7">
        <v>98</v>
      </c>
      <c r="B91" s="6" t="s">
        <v>34</v>
      </c>
      <c r="C91" s="6" t="s">
        <v>12</v>
      </c>
      <c r="D91" s="4" t="s">
        <v>613</v>
      </c>
      <c r="E91" s="4" t="s">
        <v>34</v>
      </c>
      <c r="F91" s="4">
        <v>2</v>
      </c>
      <c r="G91" s="4" t="s">
        <v>592</v>
      </c>
      <c r="H91" s="4" t="s">
        <v>227</v>
      </c>
      <c r="I91" s="4" t="b">
        <v>0</v>
      </c>
      <c r="K91" s="4" t="b">
        <f>IF(COUNTIF($B$2:$B91,B91)&gt;1,TRUE,FALSE)</f>
        <v>0</v>
      </c>
      <c r="L91" t="str">
        <f>IF(
K91,"p["""&amp;B91&amp;"""].update({"&amp;""""&amp;C91&amp;""":{"&amp;_xlfn.CONCAT(N91:T91)&amp;"}})","p.update("&amp;M91&amp;")"
)</f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>"{"&amp;""""&amp;B91
&amp;""":{"&amp;""""&amp;C91&amp;""":{"&amp;_xlfn.CONCAT(N91:T91)&amp;"}}}"</f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6"/>
        <v>"type":"sql",</v>
      </c>
      <c r="O91" t="str">
        <f t="shared" si="7"/>
        <v>"subtype":"sql-block ",</v>
      </c>
      <c r="P91" t="str">
        <f t="shared" si="8"/>
        <v>"indent":2,</v>
      </c>
      <c r="Q91" t="str">
        <f t="shared" si="12"/>
        <v>"default_value":"",</v>
      </c>
      <c r="R91" t="str">
        <f t="shared" si="9"/>
        <v>"docs_url":"https://looker.com/docs/r/lookml/types/dimension/sql?version=7.14&amp;lookml=new",</v>
      </c>
      <c r="S91" t="str">
        <f t="shared" si="10"/>
        <v>"has_allowed_values":False,</v>
      </c>
      <c r="T91" t="str">
        <f t="shared" si="11"/>
        <v>"allowed_values":""</v>
      </c>
    </row>
    <row r="92" spans="1:20" ht="13" x14ac:dyDescent="0.15">
      <c r="A92" s="7">
        <v>99</v>
      </c>
      <c r="B92" s="6" t="s">
        <v>35</v>
      </c>
      <c r="C92" s="6" t="s">
        <v>12</v>
      </c>
      <c r="D92" s="4" t="s">
        <v>613</v>
      </c>
      <c r="E92" s="4" t="s">
        <v>34</v>
      </c>
      <c r="F92" s="4">
        <v>2</v>
      </c>
      <c r="G92" s="4" t="s">
        <v>592</v>
      </c>
      <c r="H92" s="4" t="s">
        <v>228</v>
      </c>
      <c r="I92" s="4" t="b">
        <v>0</v>
      </c>
      <c r="K92" s="4" t="b">
        <f>IF(COUNTIF($B$2:$B92,B92)&gt;1,TRUE,FALSE)</f>
        <v>0</v>
      </c>
      <c r="L92" t="str">
        <f>IF(
K92,"p["""&amp;B92&amp;"""].update({"&amp;""""&amp;C92&amp;""":{"&amp;_xlfn.CONCAT(N92:T92)&amp;"}})","p.update("&amp;M92&amp;")"
)</f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>"{"&amp;""""&amp;B92
&amp;""":{"&amp;""""&amp;C92&amp;""":{"&amp;_xlfn.CONCAT(N92:T92)&amp;"}}}"</f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6"/>
        <v>"type":"sql",</v>
      </c>
      <c r="O92" t="str">
        <f t="shared" si="7"/>
        <v>"subtype":"sql-block ",</v>
      </c>
      <c r="P92" t="str">
        <f t="shared" si="8"/>
        <v>"indent":2,</v>
      </c>
      <c r="Q92" t="str">
        <f t="shared" si="12"/>
        <v>"default_value":"",</v>
      </c>
      <c r="R92" t="str">
        <f t="shared" si="9"/>
        <v>"docs_url":"https://looker.com/docs/r/lookml/types/dimension/sql_end?version=7.14&amp;lookml=new",</v>
      </c>
      <c r="S92" t="str">
        <f t="shared" si="10"/>
        <v>"has_allowed_values":False,</v>
      </c>
      <c r="T92" t="str">
        <f t="shared" si="11"/>
        <v>"allowed_values":""</v>
      </c>
    </row>
    <row r="93" spans="1:20" ht="13" x14ac:dyDescent="0.15">
      <c r="A93" s="7">
        <v>100</v>
      </c>
      <c r="B93" s="6" t="s">
        <v>38</v>
      </c>
      <c r="C93" s="6" t="s">
        <v>12</v>
      </c>
      <c r="D93" s="4" t="s">
        <v>613</v>
      </c>
      <c r="E93" s="4" t="s">
        <v>34</v>
      </c>
      <c r="F93" s="4">
        <v>2</v>
      </c>
      <c r="G93" s="4" t="s">
        <v>592</v>
      </c>
      <c r="H93" s="4" t="s">
        <v>229</v>
      </c>
      <c r="I93" s="4" t="b">
        <v>0</v>
      </c>
      <c r="K93" s="4" t="b">
        <f>IF(COUNTIF($B$2:$B93,B93)&gt;1,TRUE,FALSE)</f>
        <v>0</v>
      </c>
      <c r="L93" t="str">
        <f>IF(
K93,"p["""&amp;B93&amp;"""].update({"&amp;""""&amp;C93&amp;""":{"&amp;_xlfn.CONCAT(N93:T93)&amp;"}})","p.update("&amp;M93&amp;")"
)</f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>"{"&amp;""""&amp;B93
&amp;""":{"&amp;""""&amp;C93&amp;""":{"&amp;_xlfn.CONCAT(N93:T93)&amp;"}}}"</f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6"/>
        <v>"type":"sql",</v>
      </c>
      <c r="O93" t="str">
        <f t="shared" si="7"/>
        <v>"subtype":"sql-block ",</v>
      </c>
      <c r="P93" t="str">
        <f t="shared" si="8"/>
        <v>"indent":2,</v>
      </c>
      <c r="Q93" t="str">
        <f t="shared" si="12"/>
        <v>"default_value":"",</v>
      </c>
      <c r="R93" t="str">
        <f t="shared" si="9"/>
        <v>"docs_url":"https://looker.com/docs/r/lookml/types/dimension/sql_start?version=7.14&amp;lookml=new",</v>
      </c>
      <c r="S93" t="str">
        <f t="shared" si="10"/>
        <v>"has_allowed_values":False,</v>
      </c>
      <c r="T93" t="str">
        <f t="shared" si="11"/>
        <v>"allowed_values":""</v>
      </c>
    </row>
    <row r="94" spans="1:20" ht="13" x14ac:dyDescent="0.15">
      <c r="A94" s="7">
        <v>101</v>
      </c>
      <c r="B94" s="6" t="s">
        <v>48</v>
      </c>
      <c r="C94" s="6" t="s">
        <v>12</v>
      </c>
      <c r="D94" s="4" t="s">
        <v>62</v>
      </c>
      <c r="E94" s="4" t="s">
        <v>596</v>
      </c>
      <c r="F94" s="4">
        <v>2</v>
      </c>
      <c r="G94" s="4" t="s">
        <v>595</v>
      </c>
      <c r="H94" s="4" t="s">
        <v>230</v>
      </c>
      <c r="I94" s="4" t="b">
        <v>0</v>
      </c>
      <c r="K94" s="4" t="b">
        <f>IF(COUNTIF($B$2:$B94,B94)&gt;1,TRUE,FALSE)</f>
        <v>0</v>
      </c>
      <c r="L94" t="str">
        <f>IF(
K94,"p["""&amp;B94&amp;"""].update({"&amp;""""&amp;C94&amp;""":{"&amp;_xlfn.CONCAT(N94:T94)&amp;"}})","p.update("&amp;M94&amp;")"
)</f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>"{"&amp;""""&amp;B94
&amp;""":{"&amp;""""&amp;C94&amp;""":{"&amp;_xlfn.CONCAT(N94:T94)&amp;"}}}"</f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6"/>
        <v>"type":"list_unquoted",</v>
      </c>
      <c r="O94" t="str">
        <f t="shared" si="7"/>
        <v>"subtype":"number",</v>
      </c>
      <c r="P94" t="str">
        <f t="shared" si="8"/>
        <v>"indent":2,</v>
      </c>
      <c r="Q94" t="str">
        <f t="shared" si="12"/>
        <v>"default_value":[],</v>
      </c>
      <c r="R94" t="str">
        <f t="shared" si="9"/>
        <v>"docs_url":"https://looker.com/docs/r/lookml/types/dimension/tiers?version=7.14&amp;lookml=new",</v>
      </c>
      <c r="S94" t="str">
        <f t="shared" si="10"/>
        <v>"has_allowed_values":False,</v>
      </c>
      <c r="T94" t="str">
        <f t="shared" si="11"/>
        <v>"allowed_values":""</v>
      </c>
    </row>
    <row r="95" spans="1:20" ht="13" x14ac:dyDescent="0.15">
      <c r="A95" s="7">
        <v>102</v>
      </c>
      <c r="B95" s="6" t="s">
        <v>37</v>
      </c>
      <c r="C95" s="6" t="s">
        <v>12</v>
      </c>
      <c r="D95" s="4" t="s">
        <v>613</v>
      </c>
      <c r="E95" s="4" t="s">
        <v>34</v>
      </c>
      <c r="F95" s="4">
        <v>2</v>
      </c>
      <c r="G95" s="4" t="s">
        <v>592</v>
      </c>
      <c r="H95" s="4" t="s">
        <v>231</v>
      </c>
      <c r="I95" s="4" t="b">
        <v>0</v>
      </c>
      <c r="K95" s="4" t="b">
        <f>IF(COUNTIF($B$2:$B95,B95)&gt;1,TRUE,FALSE)</f>
        <v>0</v>
      </c>
      <c r="L95" t="str">
        <f>IF(
K95,"p["""&amp;B95&amp;"""].update({"&amp;""""&amp;C95&amp;""":{"&amp;_xlfn.CONCAT(N95:T95)&amp;"}})","p.update("&amp;M95&amp;")"
)</f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>"{"&amp;""""&amp;B95
&amp;""":{"&amp;""""&amp;C95&amp;""":{"&amp;_xlfn.CONCAT(N95:T95)&amp;"}}}"</f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6"/>
        <v>"type":"sql",</v>
      </c>
      <c r="O95" t="str">
        <f t="shared" si="7"/>
        <v>"subtype":"sql-block ",</v>
      </c>
      <c r="P95" t="str">
        <f t="shared" si="8"/>
        <v>"indent":2,</v>
      </c>
      <c r="Q95" t="str">
        <f t="shared" si="12"/>
        <v>"default_value":"",</v>
      </c>
      <c r="R95" t="str">
        <f t="shared" si="9"/>
        <v>"docs_url":"https://looker.com/docs/r/lookml/types/dimension/sql_longitude?version=7.14&amp;lookml=new",</v>
      </c>
      <c r="S95" t="str">
        <f t="shared" si="10"/>
        <v>"has_allowed_values":False,</v>
      </c>
      <c r="T95" t="str">
        <f t="shared" si="11"/>
        <v>"allowed_values":""</v>
      </c>
    </row>
    <row r="96" spans="1:20" ht="13" x14ac:dyDescent="0.15">
      <c r="A96" s="7">
        <v>103</v>
      </c>
      <c r="B96" s="6" t="s">
        <v>36</v>
      </c>
      <c r="C96" s="6" t="s">
        <v>12</v>
      </c>
      <c r="D96" s="4" t="s">
        <v>613</v>
      </c>
      <c r="E96" s="4" t="s">
        <v>34</v>
      </c>
      <c r="F96" s="4">
        <v>2</v>
      </c>
      <c r="G96" s="4" t="s">
        <v>592</v>
      </c>
      <c r="H96" s="4" t="s">
        <v>232</v>
      </c>
      <c r="I96" s="4" t="b">
        <v>0</v>
      </c>
      <c r="K96" s="4" t="b">
        <f>IF(COUNTIF($B$2:$B96,B96)&gt;1,TRUE,FALSE)</f>
        <v>0</v>
      </c>
      <c r="L96" t="str">
        <f>IF(
K96,"p["""&amp;B96&amp;"""].update({"&amp;""""&amp;C96&amp;""":{"&amp;_xlfn.CONCAT(N96:T96)&amp;"}})","p.update("&amp;M96&amp;")"
)</f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>"{"&amp;""""&amp;B96
&amp;""":{"&amp;""""&amp;C96&amp;""":{"&amp;_xlfn.CONCAT(N96:T96)&amp;"}}}"</f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6"/>
        <v>"type":"sql",</v>
      </c>
      <c r="O96" t="str">
        <f t="shared" si="7"/>
        <v>"subtype":"sql-block ",</v>
      </c>
      <c r="P96" t="str">
        <f t="shared" si="8"/>
        <v>"indent":2,</v>
      </c>
      <c r="Q96" t="str">
        <f t="shared" si="12"/>
        <v>"default_value":"",</v>
      </c>
      <c r="R96" t="str">
        <f t="shared" si="9"/>
        <v>"docs_url":"https://looker.com/docs/r/lookml/types/dimension/sql_latitude?version=7.14&amp;lookml=new",</v>
      </c>
      <c r="S96" t="str">
        <f t="shared" si="10"/>
        <v>"has_allowed_values":False,</v>
      </c>
      <c r="T96" t="str">
        <f t="shared" si="11"/>
        <v>"allowed_values":""</v>
      </c>
    </row>
    <row r="97" spans="1:20" ht="13" x14ac:dyDescent="0.15">
      <c r="A97" s="7">
        <v>104</v>
      </c>
      <c r="B97" s="6" t="s">
        <v>40</v>
      </c>
      <c r="C97" s="6" t="s">
        <v>12</v>
      </c>
      <c r="D97" s="4" t="s">
        <v>551</v>
      </c>
      <c r="E97" s="4" t="s">
        <v>551</v>
      </c>
      <c r="F97" s="4">
        <v>2</v>
      </c>
      <c r="G97" s="4" t="s">
        <v>579</v>
      </c>
      <c r="H97" s="4" t="s">
        <v>233</v>
      </c>
      <c r="I97" s="4" t="b">
        <v>1</v>
      </c>
      <c r="J97" s="4" t="s">
        <v>580</v>
      </c>
      <c r="K97" s="4" t="b">
        <f>IF(COUNTIF($B$2:$B97,B97)&gt;1,TRUE,FALSE)</f>
        <v>0</v>
      </c>
      <c r="L97" t="str">
        <f>IF(
K97,"p["""&amp;B97&amp;"""].update({"&amp;""""&amp;C97&amp;""":{"&amp;_xlfn.CONCAT(N97:T97)&amp;"}})","p.update("&amp;M97&amp;")"
)</f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>"{"&amp;""""&amp;B97
&amp;""":{"&amp;""""&amp;C97&amp;""":{"&amp;_xlfn.CONCAT(N97:T97)&amp;"}}}"</f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6"/>
        <v>"type":"options",</v>
      </c>
      <c r="O97" t="str">
        <f t="shared" si="7"/>
        <v>"subtype":"options",</v>
      </c>
      <c r="P97" t="str">
        <f t="shared" si="8"/>
        <v>"indent":2,</v>
      </c>
      <c r="Q97" t="str">
        <f t="shared" si="12"/>
        <v>"default_value":"unicode",</v>
      </c>
      <c r="R97" t="str">
        <f t="shared" si="9"/>
        <v>"docs_url":"https://looker.com/docs/r/lookml/types/dimension/string_datatype?version=7.14&amp;lookml=new",</v>
      </c>
      <c r="S97" t="str">
        <f t="shared" si="10"/>
        <v>"has_allowed_values":True,</v>
      </c>
      <c r="T97" t="str">
        <f t="shared" si="11"/>
        <v>"allowed_values":["unicode"]</v>
      </c>
    </row>
    <row r="98" spans="1:20" ht="25" customHeight="1" x14ac:dyDescent="0.15">
      <c r="A98" s="7">
        <v>105</v>
      </c>
      <c r="B98" s="6" t="s">
        <v>50</v>
      </c>
      <c r="C98" s="6" t="s">
        <v>12</v>
      </c>
      <c r="D98" s="4" t="s">
        <v>551</v>
      </c>
      <c r="E98" s="4" t="s">
        <v>551</v>
      </c>
      <c r="F98" s="4">
        <v>2</v>
      </c>
      <c r="G98" s="4" t="s">
        <v>581</v>
      </c>
      <c r="H98" s="4" t="s">
        <v>234</v>
      </c>
      <c r="I98" s="4" t="b">
        <v>1</v>
      </c>
      <c r="J98" s="8" t="s">
        <v>582</v>
      </c>
      <c r="K98" s="4" t="b">
        <f>IF(COUNTIF($B$2:$B98,B98)&gt;1,TRUE,FALSE)</f>
        <v>0</v>
      </c>
      <c r="L98" t="str">
        <f>IF(
K98,"p["""&amp;B98&amp;"""].update({"&amp;""""&amp;C98&amp;""":{"&amp;_xlfn.CONCAT(N98:T98)&amp;"}})","p.update("&amp;M98&amp;")"
)</f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>"{"&amp;""""&amp;B98
&amp;""":{"&amp;""""&amp;C98&amp;""":{"&amp;_xlfn.CONCAT(N98:T98)&amp;"}}}"</f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6"/>
        <v>"type":"options",</v>
      </c>
      <c r="O98" t="str">
        <f t="shared" si="7"/>
        <v>"subtype":"options",</v>
      </c>
      <c r="P98" t="str">
        <f t="shared" si="8"/>
        <v>"indent":2,</v>
      </c>
      <c r="Q98" t="str">
        <f t="shared" si="12"/>
        <v>"default_value":"kilometers",</v>
      </c>
      <c r="R98" t="str">
        <f t="shared" si="9"/>
        <v>"docs_url":"https://looker.com/docs/r/lookml/types/dimension/units?version=7.14&amp;lookml=new",</v>
      </c>
      <c r="S98" t="str">
        <f t="shared" si="10"/>
        <v>"has_allowed_values":True,</v>
      </c>
      <c r="T98" t="str">
        <f t="shared" si="11"/>
        <v>"allowed_values":["feet","kilometers","meters","miles","nautical_miles","yards"]</v>
      </c>
    </row>
    <row r="99" spans="1:20" ht="13" x14ac:dyDescent="0.15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592</v>
      </c>
      <c r="H99" s="4" t="s">
        <v>235</v>
      </c>
      <c r="I99" s="4" t="b">
        <v>0</v>
      </c>
      <c r="K99" s="4" t="b">
        <f>IF(COUNTIF($B$2:$B99,B99)&gt;1,TRUE,FALSE)</f>
        <v>0</v>
      </c>
      <c r="L99" t="str">
        <f>IF(
K99,"p["""&amp;B99&amp;"""].update({"&amp;""""&amp;C99&amp;""":{"&amp;_xlfn.CONCAT(N99:T99)&amp;"}})","p.update("&amp;M99&amp;")"
)</f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>"{"&amp;""""&amp;B99
&amp;""":{"&amp;""""&amp;C99&amp;""":{"&amp;_xlfn.CONCAT(N99:T99)&amp;"}}}"</f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6"/>
        <v>"type":"string",</v>
      </c>
      <c r="O99" t="str">
        <f t="shared" si="7"/>
        <v>"subtype":"string",</v>
      </c>
      <c r="P99" t="str">
        <f t="shared" si="8"/>
        <v>"indent":2,</v>
      </c>
      <c r="Q99" t="str">
        <f t="shared" si="12"/>
        <v>"default_value":"",</v>
      </c>
      <c r="R99" t="str">
        <f t="shared" si="9"/>
        <v>"docs_url":"https://looker.com/docs/r/lookml/types/dimension/value_format?version=7.14&amp;lookml=new",</v>
      </c>
      <c r="S99" t="str">
        <f t="shared" si="10"/>
        <v>"has_allowed_values":False,</v>
      </c>
      <c r="T99" t="str">
        <f t="shared" si="11"/>
        <v>"allowed_values":""</v>
      </c>
    </row>
    <row r="100" spans="1:20" ht="13" x14ac:dyDescent="0.15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599</v>
      </c>
      <c r="F100" s="4">
        <v>2</v>
      </c>
      <c r="G100" s="4" t="s">
        <v>600</v>
      </c>
      <c r="H100" s="4" t="s">
        <v>236</v>
      </c>
      <c r="I100" s="4" t="b">
        <v>0</v>
      </c>
      <c r="K100" s="4" t="b">
        <f>IF(COUNTIF($B$2:$B100,B100)&gt;1,TRUE,FALSE)</f>
        <v>0</v>
      </c>
      <c r="L100" t="str">
        <f>IF(
K100,"p["""&amp;B100&amp;"""].update({"&amp;""""&amp;C100&amp;""":{"&amp;_xlfn.CONCAT(N100:T100)&amp;"}})","p.update("&amp;M100&amp;")"
)</f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>"{"&amp;""""&amp;B100
&amp;""":{"&amp;""""&amp;C100&amp;""":{"&amp;_xlfn.CONCAT(N100:T100)&amp;"}}}"</f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6"/>
        <v>"type":"string_unquoted",</v>
      </c>
      <c r="O100" t="str">
        <f t="shared" si="7"/>
        <v>"subtype":"value-format-ref",</v>
      </c>
      <c r="P100" t="str">
        <f t="shared" si="8"/>
        <v>"indent":2,</v>
      </c>
      <c r="Q100" t="str">
        <f t="shared" si="12"/>
        <v>"default_value":"decimal_0",</v>
      </c>
      <c r="R100" t="str">
        <f t="shared" si="9"/>
        <v>"docs_url":"https://looker.com/docs/r/lookml/types/dimension/value_format_name?version=7.14&amp;lookml=new",</v>
      </c>
      <c r="S100" t="str">
        <f t="shared" si="10"/>
        <v>"has_allowed_values":False,</v>
      </c>
      <c r="T100" t="str">
        <f t="shared" si="11"/>
        <v>"allowed_values":""</v>
      </c>
    </row>
    <row r="101" spans="1:20" ht="13" x14ac:dyDescent="0.15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596</v>
      </c>
      <c r="F101" s="4">
        <v>2</v>
      </c>
      <c r="H101" s="4" t="s">
        <v>237</v>
      </c>
      <c r="I101" s="4" t="b">
        <v>0</v>
      </c>
      <c r="K101" s="4" t="b">
        <f>IF(COUNTIF($B$2:$B101,B101)&gt;1,TRUE,FALSE)</f>
        <v>0</v>
      </c>
      <c r="L101" t="str">
        <f>IF(
K101,"p["""&amp;B101&amp;"""].update({"&amp;""""&amp;C101&amp;""":{"&amp;_xlfn.CONCAT(N101:T101)&amp;"}})","p.update("&amp;M101&amp;")"
)</f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>"{"&amp;""""&amp;B101
&amp;""":{"&amp;""""&amp;C101&amp;""":{"&amp;_xlfn.CONCAT(N101:T101)&amp;"}}}"</f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6"/>
        <v>"type":"list_unquoted",</v>
      </c>
      <c r="O101" t="str">
        <f t="shared" si="7"/>
        <v>"subtype":"identifier",</v>
      </c>
      <c r="P101" t="str">
        <f t="shared" si="8"/>
        <v>"indent":2,</v>
      </c>
      <c r="Q101" t="str">
        <f t="shared" si="12"/>
        <v>"default_value":"",</v>
      </c>
      <c r="R101" t="str">
        <f t="shared" si="9"/>
        <v>"docs_url":"https://looker.com/docs/r/lookml/types/dimension/alias?version=7.14&amp;lookml=new",</v>
      </c>
      <c r="S101" t="str">
        <f t="shared" si="10"/>
        <v>"has_allowed_values":False,</v>
      </c>
      <c r="T101" t="str">
        <f t="shared" si="11"/>
        <v>"allowed_values":""</v>
      </c>
    </row>
    <row r="102" spans="1:20" ht="13" x14ac:dyDescent="0.15">
      <c r="A102" s="7">
        <v>109</v>
      </c>
      <c r="B102" s="6" t="s">
        <v>9</v>
      </c>
      <c r="C102" s="6" t="s">
        <v>12</v>
      </c>
      <c r="D102" s="4" t="s">
        <v>569</v>
      </c>
      <c r="E102" s="4" t="s">
        <v>569</v>
      </c>
      <c r="F102" s="4">
        <v>2</v>
      </c>
      <c r="G102" s="4" t="s">
        <v>605</v>
      </c>
      <c r="H102" s="4" t="s">
        <v>238</v>
      </c>
      <c r="I102" s="4" t="b">
        <v>0</v>
      </c>
      <c r="K102" s="4" t="b">
        <f>IF(COUNTIF($B$2:$B102,B102)&gt;1,TRUE,FALSE)</f>
        <v>0</v>
      </c>
      <c r="L102" t="str">
        <f>IF(
K102,"p["""&amp;B102&amp;"""].update({"&amp;""""&amp;C102&amp;""":{"&amp;_xlfn.CONCAT(N102:T102)&amp;"}})","p.update("&amp;M102&amp;")"
)</f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>"{"&amp;""""&amp;B102
&amp;""":{"&amp;""""&amp;C102&amp;""":{"&amp;_xlfn.CONCAT(N102:T102)&amp;"}}}"</f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6"/>
        <v>"type":"yesno",</v>
      </c>
      <c r="O102" t="str">
        <f t="shared" si="7"/>
        <v>"subtype":"yesno",</v>
      </c>
      <c r="P102" t="str">
        <f t="shared" si="8"/>
        <v>"indent":2,</v>
      </c>
      <c r="Q102" t="str">
        <f t="shared" si="12"/>
        <v>"default_value":"yes",</v>
      </c>
      <c r="R102" t="str">
        <f t="shared" si="9"/>
        <v>"docs_url":"https://looker.com/docs/r/lookml/types/dimension/convert_tz?version=7.14&amp;lookml=new",</v>
      </c>
      <c r="S102" t="str">
        <f t="shared" si="10"/>
        <v>"has_allowed_values":False,</v>
      </c>
      <c r="T102" t="str">
        <f t="shared" si="11"/>
        <v>"allowed_values":""</v>
      </c>
    </row>
    <row r="103" spans="1:20" ht="13" x14ac:dyDescent="0.15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592</v>
      </c>
      <c r="H103" s="4" t="s">
        <v>239</v>
      </c>
      <c r="I103" s="4" t="b">
        <v>0</v>
      </c>
      <c r="K103" s="4" t="b">
        <f>IF(COUNTIF($B$2:$B103,B103)&gt;1,TRUE,FALSE)</f>
        <v>1</v>
      </c>
      <c r="L103" t="str">
        <f>IF(
K103,"p["""&amp;B103&amp;"""].update({"&amp;""""&amp;C103&amp;""":{"&amp;_xlfn.CONCAT(N103:T103)&amp;"}})","p.update("&amp;M103&amp;")"
)</f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>"{"&amp;""""&amp;B103
&amp;""":{"&amp;""""&amp;C103&amp;""":{"&amp;_xlfn.CONCAT(N103:T103)&amp;"}}}"</f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6"/>
        <v>"type":"string",</v>
      </c>
      <c r="O103" t="str">
        <f t="shared" si="7"/>
        <v>"subtype":"possibly-localized-string",</v>
      </c>
      <c r="P103" t="str">
        <f t="shared" si="8"/>
        <v>"indent":2,</v>
      </c>
      <c r="Q103" t="str">
        <f t="shared" si="12"/>
        <v>"default_value":"",</v>
      </c>
      <c r="R103" t="str">
        <f t="shared" si="9"/>
        <v>"docs_url":"https://looker.com/docs/r/lookml/types/dimension/description?version=7.14&amp;lookml=new",</v>
      </c>
      <c r="S103" t="str">
        <f t="shared" si="10"/>
        <v>"has_allowed_values":False,</v>
      </c>
      <c r="T103" t="str">
        <f t="shared" si="11"/>
        <v>"allowed_values":""</v>
      </c>
    </row>
    <row r="104" spans="1:20" ht="13" x14ac:dyDescent="0.15">
      <c r="A104" s="7">
        <v>111</v>
      </c>
      <c r="B104" s="6" t="s">
        <v>21</v>
      </c>
      <c r="C104" s="6" t="s">
        <v>12</v>
      </c>
      <c r="D104" s="4" t="s">
        <v>569</v>
      </c>
      <c r="E104" s="4" t="s">
        <v>569</v>
      </c>
      <c r="F104" s="4">
        <v>2</v>
      </c>
      <c r="G104" s="4" t="s">
        <v>604</v>
      </c>
      <c r="H104" s="4" t="s">
        <v>240</v>
      </c>
      <c r="I104" s="4" t="b">
        <v>0</v>
      </c>
      <c r="K104" s="4" t="b">
        <f>IF(COUNTIF($B$2:$B104,B104)&gt;1,TRUE,FALSE)</f>
        <v>1</v>
      </c>
      <c r="L104" t="str">
        <f>IF(
K104,"p["""&amp;B104&amp;"""].update({"&amp;""""&amp;C104&amp;""":{"&amp;_xlfn.CONCAT(N104:T104)&amp;"}})","p.update("&amp;M104&amp;")"
)</f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>"{"&amp;""""&amp;B104
&amp;""":{"&amp;""""&amp;C104&amp;""":{"&amp;_xlfn.CONCAT(N104:T104)&amp;"}}}"</f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6"/>
        <v>"type":"yesno",</v>
      </c>
      <c r="O104" t="str">
        <f t="shared" si="7"/>
        <v>"subtype":"yesno",</v>
      </c>
      <c r="P104" t="str">
        <f t="shared" si="8"/>
        <v>"indent":2,</v>
      </c>
      <c r="Q104" t="str">
        <f t="shared" si="12"/>
        <v>"default_value":"no",</v>
      </c>
      <c r="R104" t="str">
        <f t="shared" si="9"/>
        <v>"docs_url":"https://looker.com/docs/r/lookml/types/dimension/hidden?version=7.14&amp;lookml=new",</v>
      </c>
      <c r="S104" t="str">
        <f t="shared" si="10"/>
        <v>"has_allowed_values":False,</v>
      </c>
      <c r="T104" t="str">
        <f t="shared" si="11"/>
        <v>"allowed_values":""</v>
      </c>
    </row>
    <row r="105" spans="1:20" ht="13" x14ac:dyDescent="0.15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592</v>
      </c>
      <c r="H105" s="4" t="s">
        <v>241</v>
      </c>
      <c r="I105" s="4" t="b">
        <v>0</v>
      </c>
      <c r="K105" s="4" t="b">
        <f>IF(COUNTIF($B$2:$B105,B105)&gt;1,TRUE,FALSE)</f>
        <v>1</v>
      </c>
      <c r="L105" t="str">
        <f>IF(
K105,"p["""&amp;B105&amp;"""].update({"&amp;""""&amp;C105&amp;""":{"&amp;_xlfn.CONCAT(N105:T105)&amp;"}})","p.update("&amp;M105&amp;")"
)</f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>"{"&amp;""""&amp;B105
&amp;""":{"&amp;""""&amp;C105&amp;""":{"&amp;_xlfn.CONCAT(N105:T105)&amp;"}}}"</f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6"/>
        <v>"type":"string",</v>
      </c>
      <c r="O105" t="str">
        <f t="shared" si="7"/>
        <v>"subtype":"possibly-localized-string",</v>
      </c>
      <c r="P105" t="str">
        <f t="shared" si="8"/>
        <v>"indent":2,</v>
      </c>
      <c r="Q105" t="str">
        <f t="shared" si="12"/>
        <v>"default_value":"",</v>
      </c>
      <c r="R105" t="str">
        <f t="shared" si="9"/>
        <v>"docs_url":"https://looker.com/docs/r/lookml/types/dimension/label?version=7.14&amp;lookml=new",</v>
      </c>
      <c r="S105" t="str">
        <f t="shared" si="10"/>
        <v>"has_allowed_values":False,</v>
      </c>
      <c r="T105" t="str">
        <f t="shared" si="11"/>
        <v>"allowed_values":""</v>
      </c>
    </row>
    <row r="106" spans="1:20" ht="13" x14ac:dyDescent="0.15">
      <c r="A106" s="7">
        <v>113</v>
      </c>
      <c r="B106" s="6" t="s">
        <v>31</v>
      </c>
      <c r="C106" s="6" t="s">
        <v>12</v>
      </c>
      <c r="D106" s="4" t="s">
        <v>612</v>
      </c>
      <c r="E106" s="4" t="s">
        <v>596</v>
      </c>
      <c r="F106" s="4">
        <v>2</v>
      </c>
      <c r="H106" s="4" t="s">
        <v>242</v>
      </c>
      <c r="I106" s="4" t="b">
        <v>0</v>
      </c>
      <c r="K106" s="4" t="b">
        <f>IF(COUNTIF($B$2:$B106,B106)&gt;1,TRUE,FALSE)</f>
        <v>1</v>
      </c>
      <c r="L106" t="str">
        <f>IF(
K106,"p["""&amp;B106&amp;"""].update({"&amp;""""&amp;C106&amp;""":{"&amp;_xlfn.CONCAT(N106:T106)&amp;"}})","p.update("&amp;M106&amp;")"
)</f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>"{"&amp;""""&amp;B106
&amp;""":{"&amp;""""&amp;C106&amp;""":{"&amp;_xlfn.CONCAT(N106:T106)&amp;"}}}"</f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6"/>
        <v>"type":"list_unquoted",</v>
      </c>
      <c r="O106" t="str">
        <f t="shared" si="7"/>
        <v>"subtype":"access-grant-ref",</v>
      </c>
      <c r="P106" t="str">
        <f t="shared" si="8"/>
        <v>"indent":2,</v>
      </c>
      <c r="Q106" t="str">
        <f t="shared" si="12"/>
        <v>"default_value":"",</v>
      </c>
      <c r="R106" t="str">
        <f t="shared" si="9"/>
        <v>"docs_url":"https://looker.com/docs/r/lookml/types/dimension/required_access_grants?version=7.14&amp;lookml=new",</v>
      </c>
      <c r="S106" t="str">
        <f t="shared" si="10"/>
        <v>"has_allowed_values":False,</v>
      </c>
      <c r="T106" t="str">
        <f t="shared" si="11"/>
        <v>"allowed_values":""</v>
      </c>
    </row>
    <row r="107" spans="1:20" ht="13" x14ac:dyDescent="0.15">
      <c r="A107" s="7">
        <v>114</v>
      </c>
      <c r="B107" s="6" t="s">
        <v>45</v>
      </c>
      <c r="C107" s="6" t="s">
        <v>12</v>
      </c>
      <c r="D107" s="4" t="s">
        <v>569</v>
      </c>
      <c r="E107" s="4" t="s">
        <v>569</v>
      </c>
      <c r="F107" s="4">
        <v>2</v>
      </c>
      <c r="G107" s="4" t="s">
        <v>605</v>
      </c>
      <c r="H107" s="4" t="s">
        <v>243</v>
      </c>
      <c r="I107" s="4" t="b">
        <v>0</v>
      </c>
      <c r="K107" s="4" t="b">
        <f>IF(COUNTIF($B$2:$B107,B107)&gt;1,TRUE,FALSE)</f>
        <v>0</v>
      </c>
      <c r="L107" t="str">
        <f>IF(
K107,"p["""&amp;B107&amp;"""].update({"&amp;""""&amp;C107&amp;""":{"&amp;_xlfn.CONCAT(N107:T107)&amp;"}})","p.update("&amp;M107&amp;")"
)</f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>"{"&amp;""""&amp;B107
&amp;""":{"&amp;""""&amp;C107&amp;""":{"&amp;_xlfn.CONCAT(N107:T107)&amp;"}}}"</f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6"/>
        <v>"type":"yesno",</v>
      </c>
      <c r="O107" t="str">
        <f t="shared" si="7"/>
        <v>"subtype":"yesno",</v>
      </c>
      <c r="P107" t="str">
        <f t="shared" si="8"/>
        <v>"indent":2,</v>
      </c>
      <c r="Q107" t="str">
        <f t="shared" si="12"/>
        <v>"default_value":"yes",</v>
      </c>
      <c r="R107" t="str">
        <f t="shared" si="9"/>
        <v>"docs_url":"https://looker.com/docs/r/lookml/types/dimension/suggestable?version=7.14&amp;lookml=new",</v>
      </c>
      <c r="S107" t="str">
        <f t="shared" si="10"/>
        <v>"has_allowed_values":False,</v>
      </c>
      <c r="T107" t="str">
        <f t="shared" si="11"/>
        <v>"allowed_values":""</v>
      </c>
    </row>
    <row r="108" spans="1:20" ht="13" x14ac:dyDescent="0.15">
      <c r="A108" s="7">
        <v>115</v>
      </c>
      <c r="B108" s="6" t="s">
        <v>47</v>
      </c>
      <c r="C108" s="6" t="s">
        <v>12</v>
      </c>
      <c r="D108" s="4" t="s">
        <v>598</v>
      </c>
      <c r="E108" s="4" t="s">
        <v>598</v>
      </c>
      <c r="F108" s="4">
        <v>2</v>
      </c>
      <c r="H108" s="4" t="s">
        <v>244</v>
      </c>
      <c r="I108" s="4" t="b">
        <v>0</v>
      </c>
      <c r="K108" s="4" t="b">
        <f>IF(COUNTIF($B$2:$B108,B108)&gt;1,TRUE,FALSE)</f>
        <v>1</v>
      </c>
      <c r="L108" t="str">
        <f>IF(
K108,"p["""&amp;B108&amp;"""].update({"&amp;""""&amp;C108&amp;""":{"&amp;_xlfn.CONCAT(N108:T108)&amp;"}})","p.update("&amp;M108&amp;")"
)</f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>"{"&amp;""""&amp;B108
&amp;""":{"&amp;""""&amp;C108&amp;""":{"&amp;_xlfn.CONCAT(N108:T108)&amp;"}}}"</f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6"/>
        <v>"type":"list_quoted",</v>
      </c>
      <c r="O108" t="str">
        <f t="shared" si="7"/>
        <v>"subtype":"list_quoted",</v>
      </c>
      <c r="P108" t="str">
        <f t="shared" si="8"/>
        <v>"indent":2,</v>
      </c>
      <c r="Q108" t="str">
        <f t="shared" si="12"/>
        <v>"default_value":"",</v>
      </c>
      <c r="R108" t="str">
        <f t="shared" si="9"/>
        <v>"docs_url":"https://looker.com/docs/r/lookml/types/dimension/tags?version=7.14&amp;lookml=new",</v>
      </c>
      <c r="S108" t="str">
        <f t="shared" si="10"/>
        <v>"has_allowed_values":False,</v>
      </c>
      <c r="T108" t="str">
        <f t="shared" si="11"/>
        <v>"allowed_values":""</v>
      </c>
    </row>
    <row r="109" spans="1:20" ht="13" x14ac:dyDescent="0.15">
      <c r="A109" s="7">
        <v>116</v>
      </c>
      <c r="B109" s="6" t="s">
        <v>49</v>
      </c>
      <c r="C109" s="6" t="s">
        <v>12</v>
      </c>
      <c r="D109" s="4" t="s">
        <v>551</v>
      </c>
      <c r="E109" s="4" t="s">
        <v>551</v>
      </c>
      <c r="F109" s="4">
        <v>2</v>
      </c>
      <c r="G109" s="4" t="s">
        <v>0</v>
      </c>
      <c r="H109" s="4" t="s">
        <v>245</v>
      </c>
      <c r="I109" s="4" t="b">
        <v>1</v>
      </c>
      <c r="J109" s="4" t="s">
        <v>570</v>
      </c>
      <c r="K109" s="4" t="b">
        <f>IF(COUNTIF($B$2:$B109,B109)&gt;1,TRUE,FALSE)</f>
        <v>0</v>
      </c>
      <c r="L109" t="str">
        <f>IF(
K109,"p["""&amp;B109&amp;"""].update({"&amp;""""&amp;C109&amp;""":{"&amp;_xlfn.CONCAT(N109:T109)&amp;"}})","p.update("&amp;M109&amp;")"
)</f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>"{"&amp;""""&amp;B109
&amp;""":{"&amp;""""&amp;C109&amp;""":{"&amp;_xlfn.CONCAT(N109:T109)&amp;"}}}"</f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6"/>
        <v>"type":"options",</v>
      </c>
      <c r="O109" t="str">
        <f t="shared" si="7"/>
        <v>"subtype":"options",</v>
      </c>
      <c r="P109" t="str">
        <f t="shared" si="8"/>
        <v>"indent":2,</v>
      </c>
      <c r="Q109" t="str">
        <f t="shared" si="12"/>
        <v>"default_value":"string",</v>
      </c>
      <c r="R109" t="str">
        <f t="shared" si="9"/>
        <v>"docs_url":"https://looker.com/docs/r/lookml/types/dimension/type?version=7.14&amp;lookml=new",</v>
      </c>
      <c r="S109" t="str">
        <f t="shared" si="10"/>
        <v>"has_allowed_values":True,</v>
      </c>
      <c r="T109" t="str">
        <f t="shared" si="11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x14ac:dyDescent="0.15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599</v>
      </c>
      <c r="F110" s="4">
        <v>2</v>
      </c>
      <c r="H110" s="4" t="s">
        <v>246</v>
      </c>
      <c r="I110" s="4" t="b">
        <v>0</v>
      </c>
      <c r="K110" s="4" t="b">
        <f>IF(COUNTIF($B$2:$B110,B110)&gt;1,TRUE,FALSE)</f>
        <v>0</v>
      </c>
      <c r="L110" t="str">
        <f>IF(
K110,"p["""&amp;B110&amp;"""].update({"&amp;""""&amp;C110&amp;""":{"&amp;_xlfn.CONCAT(N110:T110)&amp;"}})","p.update("&amp;M110&amp;")"
)</f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>"{"&amp;""""&amp;B110
&amp;""":{"&amp;""""&amp;C110&amp;""":{"&amp;_xlfn.CONCAT(N110:T110)&amp;"}}}"</f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6"/>
        <v>"type":"string_unquoted",</v>
      </c>
      <c r="O110" t="str">
        <f t="shared" si="7"/>
        <v>"subtype":"field-ref",</v>
      </c>
      <c r="P110" t="str">
        <f t="shared" si="8"/>
        <v>"indent":2,</v>
      </c>
      <c r="Q110" t="str">
        <f t="shared" si="12"/>
        <v>"default_value":"",</v>
      </c>
      <c r="R110" t="str">
        <f t="shared" si="9"/>
        <v>"docs_url":"https://looker.com/docs/r/lookml/types/dimension/suggest_dimension?version=7.14&amp;lookml=new",</v>
      </c>
      <c r="S110" t="str">
        <f t="shared" si="10"/>
        <v>"has_allowed_values":False,</v>
      </c>
      <c r="T110" t="str">
        <f t="shared" si="11"/>
        <v>"allowed_values":""</v>
      </c>
    </row>
    <row r="111" spans="1:20" ht="13" x14ac:dyDescent="0.15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599</v>
      </c>
      <c r="F111" s="4">
        <v>2</v>
      </c>
      <c r="H111" s="4" t="s">
        <v>247</v>
      </c>
      <c r="I111" s="4" t="b">
        <v>0</v>
      </c>
      <c r="K111" s="4" t="b">
        <f>IF(COUNTIF($B$2:$B111,B111)&gt;1,TRUE,FALSE)</f>
        <v>0</v>
      </c>
      <c r="L111" t="str">
        <f>IF(
K111,"p["""&amp;B111&amp;"""].update({"&amp;""""&amp;C111&amp;""":{"&amp;_xlfn.CONCAT(N111:T111)&amp;"}})","p.update("&amp;M111&amp;")"
)</f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>"{"&amp;""""&amp;B111
&amp;""":{"&amp;""""&amp;C111&amp;""":{"&amp;_xlfn.CONCAT(N111:T111)&amp;"}}}"</f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6"/>
        <v>"type":"string_unquoted",</v>
      </c>
      <c r="O111" t="str">
        <f t="shared" si="7"/>
        <v>"subtype":"explore-ref",</v>
      </c>
      <c r="P111" t="str">
        <f t="shared" si="8"/>
        <v>"indent":2,</v>
      </c>
      <c r="Q111" t="str">
        <f t="shared" si="12"/>
        <v>"default_value":"",</v>
      </c>
      <c r="R111" t="str">
        <f t="shared" si="9"/>
        <v>"docs_url":"https://looker.com/docs/r/lookml/types/dimension/suggest_explore?version=7.14&amp;lookml=new",</v>
      </c>
      <c r="S111" t="str">
        <f t="shared" si="10"/>
        <v>"has_allowed_values":False,</v>
      </c>
      <c r="T111" t="str">
        <f t="shared" si="11"/>
        <v>"allowed_values":""</v>
      </c>
    </row>
    <row r="112" spans="1:20" ht="13" x14ac:dyDescent="0.15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592</v>
      </c>
      <c r="H112" s="4" t="s">
        <v>248</v>
      </c>
      <c r="I112" s="4" t="b">
        <v>0</v>
      </c>
      <c r="K112" s="4" t="b">
        <f>IF(COUNTIF($B$2:$B112,B112)&gt;1,TRUE,FALSE)</f>
        <v>1</v>
      </c>
      <c r="L112" t="str">
        <f>IF(
K112,"p["""&amp;B112&amp;"""].update({"&amp;""""&amp;C112&amp;""":{"&amp;_xlfn.CONCAT(N112:T112)&amp;"}})","p.update("&amp;M112&amp;")"
)</f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>"{"&amp;""""&amp;B112
&amp;""":{"&amp;""""&amp;C112&amp;""":{"&amp;_xlfn.CONCAT(N112:T112)&amp;"}}}"</f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6"/>
        <v>"type":"string",</v>
      </c>
      <c r="O112" t="str">
        <f t="shared" si="7"/>
        <v>"subtype":"possibly-localized-string",</v>
      </c>
      <c r="P112" t="str">
        <f t="shared" si="8"/>
        <v>"indent":2,</v>
      </c>
      <c r="Q112" t="str">
        <f t="shared" si="12"/>
        <v>"default_value":"",</v>
      </c>
      <c r="R112" t="str">
        <f t="shared" si="9"/>
        <v>"docs_url":"https://looker.com/docs/r/lookml/types/dimension/view_label?version=7.14&amp;lookml=new",</v>
      </c>
      <c r="S112" t="str">
        <f t="shared" si="10"/>
        <v>"has_allowed_values":False,</v>
      </c>
      <c r="T112" t="str">
        <f t="shared" si="11"/>
        <v>"allowed_values":""</v>
      </c>
    </row>
    <row r="113" spans="1:20" ht="13" x14ac:dyDescent="0.15">
      <c r="A113" s="7">
        <v>122</v>
      </c>
      <c r="B113" s="6" t="s">
        <v>1</v>
      </c>
      <c r="C113" s="6" t="s">
        <v>61</v>
      </c>
      <c r="D113" s="4" t="s">
        <v>541</v>
      </c>
      <c r="E113" s="4" t="s">
        <v>541</v>
      </c>
      <c r="F113" s="4">
        <v>2</v>
      </c>
      <c r="H113" s="4" t="s">
        <v>249</v>
      </c>
      <c r="I113" s="4" t="b">
        <v>0</v>
      </c>
      <c r="K113" s="4" t="b">
        <f>IF(COUNTIF($B$2:$B113,B113)&gt;1,TRUE,FALSE)</f>
        <v>1</v>
      </c>
      <c r="L113" t="str">
        <f>IF(
K113,"p["""&amp;B113&amp;"""].update({"&amp;""""&amp;C113&amp;""":{"&amp;_xlfn.CONCAT(N113:T113)&amp;"}})","p.update("&amp;M113&amp;")"
)</f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>"{"&amp;""""&amp;B113
&amp;""":{"&amp;""""&amp;C113&amp;""":{"&amp;_xlfn.CONCAT(N113:T113)&amp;"}}}"</f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6"/>
        <v>"type":"anonymous_construct_plural",</v>
      </c>
      <c r="O113" t="str">
        <f t="shared" si="7"/>
        <v>"subtype":"anonymous_construct_plural",</v>
      </c>
      <c r="P113" t="str">
        <f t="shared" si="8"/>
        <v>"indent":2,</v>
      </c>
      <c r="Q113" t="str">
        <f t="shared" si="12"/>
        <v>"default_value":"",</v>
      </c>
      <c r="R113" t="str">
        <f t="shared" si="9"/>
        <v>"docs_url":"https://looker.com/docs/r/lookml/types/measure/action?version=7.14&amp;lookml=new",</v>
      </c>
      <c r="S113" t="str">
        <f t="shared" si="10"/>
        <v>"has_allowed_values":False,</v>
      </c>
      <c r="T113" t="str">
        <f t="shared" si="11"/>
        <v>"allowed_values":""</v>
      </c>
    </row>
    <row r="114" spans="1:20" ht="13" x14ac:dyDescent="0.15">
      <c r="A114" s="7">
        <v>123</v>
      </c>
      <c r="B114" s="6" t="s">
        <v>56</v>
      </c>
      <c r="C114" s="6" t="s">
        <v>61</v>
      </c>
      <c r="D114" s="4" t="s">
        <v>569</v>
      </c>
      <c r="E114" s="4" t="s">
        <v>569</v>
      </c>
      <c r="F114" s="4">
        <v>2</v>
      </c>
      <c r="G114" s="4" t="s">
        <v>604</v>
      </c>
      <c r="H114" s="4" t="s">
        <v>250</v>
      </c>
      <c r="I114" s="4" t="b">
        <v>0</v>
      </c>
      <c r="K114" s="4" t="b">
        <f>IF(COUNTIF($B$2:$B114,B114)&gt;1,TRUE,FALSE)</f>
        <v>0</v>
      </c>
      <c r="L114" t="str">
        <f>IF(
K114,"p["""&amp;B114&amp;"""].update({"&amp;""""&amp;C114&amp;""":{"&amp;_xlfn.CONCAT(N114:T114)&amp;"}})","p.update("&amp;M114&amp;")"
)</f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>"{"&amp;""""&amp;B114
&amp;""":{"&amp;""""&amp;C114&amp;""":{"&amp;_xlfn.CONCAT(N114:T114)&amp;"}}}"</f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6"/>
        <v>"type":"yesno",</v>
      </c>
      <c r="O114" t="str">
        <f t="shared" si="7"/>
        <v>"subtype":"yesno",</v>
      </c>
      <c r="P114" t="str">
        <f t="shared" si="8"/>
        <v>"indent":2,</v>
      </c>
      <c r="Q114" t="str">
        <f t="shared" si="12"/>
        <v>"default_value":"no",</v>
      </c>
      <c r="R114" t="str">
        <f t="shared" si="9"/>
        <v>"docs_url":"https://looker.com/docs/r/lookml/types/measure/approximate?version=7.14&amp;lookml=new",</v>
      </c>
      <c r="S114" t="str">
        <f t="shared" si="10"/>
        <v>"has_allowed_values":False,</v>
      </c>
      <c r="T114" t="str">
        <f t="shared" si="11"/>
        <v>"allowed_values":""</v>
      </c>
    </row>
    <row r="115" spans="1:20" ht="13" x14ac:dyDescent="0.15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599</v>
      </c>
      <c r="F115" s="4">
        <v>2</v>
      </c>
      <c r="G115" s="4">
        <v>100000</v>
      </c>
      <c r="H115" s="4" t="s">
        <v>251</v>
      </c>
      <c r="I115" s="4" t="b">
        <v>0</v>
      </c>
      <c r="K115" s="4" t="b">
        <f>IF(COUNTIF($B$2:$B115,B115)&gt;1,TRUE,FALSE)</f>
        <v>0</v>
      </c>
      <c r="L115" t="str">
        <f>IF(
K115,"p["""&amp;B115&amp;"""].update({"&amp;""""&amp;C115&amp;""":{"&amp;_xlfn.CONCAT(N115:T115)&amp;"}})","p.update("&amp;M115&amp;")"
)</f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>"{"&amp;""""&amp;B115
&amp;""":{"&amp;""""&amp;C115&amp;""":{"&amp;_xlfn.CONCAT(N115:T115)&amp;"}}}"</f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6"/>
        <v>"type":"string_unquoted",</v>
      </c>
      <c r="O115" t="str">
        <f t="shared" si="7"/>
        <v>"subtype":"number",</v>
      </c>
      <c r="P115" t="str">
        <f t="shared" si="8"/>
        <v>"indent":2,</v>
      </c>
      <c r="Q115" t="str">
        <f t="shared" si="12"/>
        <v>"default_value":"100000",</v>
      </c>
      <c r="R115" t="str">
        <f t="shared" si="9"/>
        <v>"docs_url":"https://looker.com/docs/r/lookml/types/measure/approximate_threshold?version=7.14&amp;lookml=new",</v>
      </c>
      <c r="S115" t="str">
        <f t="shared" si="10"/>
        <v>"has_allowed_values":False,</v>
      </c>
      <c r="T115" t="str">
        <f t="shared" si="11"/>
        <v>"allowed_values":""</v>
      </c>
    </row>
    <row r="116" spans="1:20" ht="13" x14ac:dyDescent="0.15">
      <c r="A116" s="7">
        <v>125</v>
      </c>
      <c r="B116" s="6" t="s">
        <v>55</v>
      </c>
      <c r="C116" s="6" t="s">
        <v>61</v>
      </c>
      <c r="D116" s="4" t="s">
        <v>569</v>
      </c>
      <c r="E116" s="4" t="s">
        <v>569</v>
      </c>
      <c r="F116" s="4">
        <v>2</v>
      </c>
      <c r="G116" s="4" t="s">
        <v>604</v>
      </c>
      <c r="H116" s="4" t="s">
        <v>252</v>
      </c>
      <c r="I116" s="4" t="b">
        <v>0</v>
      </c>
      <c r="K116" s="4" t="b">
        <f>IF(COUNTIF($B$2:$B116,B116)&gt;1,TRUE,FALSE)</f>
        <v>0</v>
      </c>
      <c r="L116" t="str">
        <f>IF(
K116,"p["""&amp;B116&amp;"""].update({"&amp;""""&amp;C116&amp;""":{"&amp;_xlfn.CONCAT(N116:T116)&amp;"}})","p.update("&amp;M116&amp;")"
)</f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>"{"&amp;""""&amp;B116
&amp;""":{"&amp;""""&amp;C116&amp;""":{"&amp;_xlfn.CONCAT(N116:T116)&amp;"}}}"</f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6"/>
        <v>"type":"yesno",</v>
      </c>
      <c r="O116" t="str">
        <f t="shared" si="7"/>
        <v>"subtype":"yesno",</v>
      </c>
      <c r="P116" t="str">
        <f t="shared" si="8"/>
        <v>"indent":2,</v>
      </c>
      <c r="Q116" t="str">
        <f t="shared" si="12"/>
        <v>"default_value":"no",</v>
      </c>
      <c r="R116" t="str">
        <f t="shared" si="9"/>
        <v>"docs_url":"https://looker.com/docs/r/lookml/types/measure/allow_approximate_optimization?version=7.14&amp;lookml=new",</v>
      </c>
      <c r="S116" t="str">
        <f t="shared" si="10"/>
        <v>"has_allowed_values":False,</v>
      </c>
      <c r="T116" t="str">
        <f t="shared" si="11"/>
        <v>"allowed_values":""</v>
      </c>
    </row>
    <row r="117" spans="1:20" ht="13" x14ac:dyDescent="0.15">
      <c r="A117" s="7">
        <v>126</v>
      </c>
      <c r="B117" s="6" t="s">
        <v>6</v>
      </c>
      <c r="C117" s="6" t="s">
        <v>61</v>
      </c>
      <c r="D117" s="4" t="s">
        <v>569</v>
      </c>
      <c r="E117" s="4" t="s">
        <v>569</v>
      </c>
      <c r="F117" s="4">
        <v>2</v>
      </c>
      <c r="G117" s="4" t="s">
        <v>605</v>
      </c>
      <c r="H117" s="4" t="s">
        <v>253</v>
      </c>
      <c r="I117" s="4" t="b">
        <v>0</v>
      </c>
      <c r="K117" s="4" t="b">
        <f>IF(COUNTIF($B$2:$B117,B117)&gt;1,TRUE,FALSE)</f>
        <v>1</v>
      </c>
      <c r="L117" t="str">
        <f>IF(
K117,"p["""&amp;B117&amp;"""].update({"&amp;""""&amp;C117&amp;""":{"&amp;_xlfn.CONCAT(N117:T117)&amp;"}})","p.update("&amp;M117&amp;")"
)</f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>"{"&amp;""""&amp;B117
&amp;""":{"&amp;""""&amp;C117&amp;""":{"&amp;_xlfn.CONCAT(N117:T117)&amp;"}}}"</f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6"/>
        <v>"type":"yesno",</v>
      </c>
      <c r="O117" t="str">
        <f t="shared" si="7"/>
        <v>"subtype":"yesno",</v>
      </c>
      <c r="P117" t="str">
        <f t="shared" si="8"/>
        <v>"indent":2,</v>
      </c>
      <c r="Q117" t="str">
        <f t="shared" si="12"/>
        <v>"default_value":"yes",</v>
      </c>
      <c r="R117" t="str">
        <f t="shared" si="9"/>
        <v>"docs_url":"https://looker.com/docs/r/lookml/types/measure/can_filter?version=7.14&amp;lookml=new",</v>
      </c>
      <c r="S117" t="str">
        <f t="shared" si="10"/>
        <v>"has_allowed_values":False,</v>
      </c>
      <c r="T117" t="str">
        <f t="shared" si="11"/>
        <v>"allowed_values":""</v>
      </c>
    </row>
    <row r="118" spans="1:20" ht="13" x14ac:dyDescent="0.15">
      <c r="A118" s="7">
        <v>127</v>
      </c>
      <c r="B118" s="6" t="s">
        <v>10</v>
      </c>
      <c r="C118" s="6" t="s">
        <v>61</v>
      </c>
      <c r="D118" s="4" t="s">
        <v>551</v>
      </c>
      <c r="E118" s="4" t="s">
        <v>551</v>
      </c>
      <c r="F118" s="4">
        <v>2</v>
      </c>
      <c r="G118" s="4" t="s">
        <v>575</v>
      </c>
      <c r="H118" s="4" t="s">
        <v>254</v>
      </c>
      <c r="I118" s="4" t="b">
        <v>1</v>
      </c>
      <c r="J118" s="4" t="s">
        <v>576</v>
      </c>
      <c r="K118" s="4" t="b">
        <f>IF(COUNTIF($B$2:$B118,B118)&gt;1,TRUE,FALSE)</f>
        <v>1</v>
      </c>
      <c r="L118" t="str">
        <f>IF(
K118,"p["""&amp;B118&amp;"""].update({"&amp;""""&amp;C118&amp;""":{"&amp;_xlfn.CONCAT(N118:T118)&amp;"}})","p.update("&amp;M118&amp;")"
)</f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>"{"&amp;""""&amp;B118
&amp;""":{"&amp;""""&amp;C118&amp;""":{"&amp;_xlfn.CONCAT(N118:T118)&amp;"}}}"</f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6"/>
        <v>"type":"options",</v>
      </c>
      <c r="O118" t="str">
        <f t="shared" si="7"/>
        <v>"subtype":"options",</v>
      </c>
      <c r="P118" t="str">
        <f t="shared" si="8"/>
        <v>"indent":2,</v>
      </c>
      <c r="Q118" t="str">
        <f t="shared" si="12"/>
        <v>"default_value":"timestamp",</v>
      </c>
      <c r="R118" t="str">
        <f t="shared" si="9"/>
        <v>"docs_url":"https://looker.com/docs/r/lookml/types/measure/datatype?version=7.14&amp;lookml=new",</v>
      </c>
      <c r="S118" t="str">
        <f t="shared" si="10"/>
        <v>"has_allowed_values":True,</v>
      </c>
      <c r="T118" t="str">
        <f t="shared" si="11"/>
        <v>"allowed_values":["timestamp","epoch","date","datetime","timestamp", "yyyymmdd"]</v>
      </c>
    </row>
    <row r="119" spans="1:20" ht="13" x14ac:dyDescent="0.15">
      <c r="A119" s="7">
        <v>128</v>
      </c>
      <c r="B119" s="6" t="s">
        <v>58</v>
      </c>
      <c r="C119" s="6" t="s">
        <v>61</v>
      </c>
      <c r="D119" s="4" t="s">
        <v>583</v>
      </c>
      <c r="E119" s="4" t="s">
        <v>583</v>
      </c>
      <c r="F119" s="4">
        <v>2</v>
      </c>
      <c r="G119" s="4" t="s">
        <v>584</v>
      </c>
      <c r="H119" s="4" t="s">
        <v>255</v>
      </c>
      <c r="I119" s="4" t="b">
        <v>1</v>
      </c>
      <c r="J119" s="4" t="s">
        <v>585</v>
      </c>
      <c r="K119" s="4" t="b">
        <f>IF(COUNTIF($B$2:$B119,B119)&gt;1,TRUE,FALSE)</f>
        <v>0</v>
      </c>
      <c r="L119" t="str">
        <f>IF(
K119,"p["""&amp;B119&amp;"""].update({"&amp;""""&amp;C119&amp;""":{"&amp;_xlfn.CONCAT(N119:T119)&amp;"}})","p.update("&amp;M119&amp;")"
)</f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>"{"&amp;""""&amp;B119
&amp;""":{"&amp;""""&amp;C119&amp;""":{"&amp;_xlfn.CONCAT(N119:T119)&amp;"}}}"</f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6"/>
        <v>"type":"options_quoted",</v>
      </c>
      <c r="O119" t="str">
        <f t="shared" si="7"/>
        <v>"subtype":"options_quoted",</v>
      </c>
      <c r="P119" t="str">
        <f t="shared" si="8"/>
        <v>"indent":2,</v>
      </c>
      <c r="Q119" t="str">
        <f t="shared" si="12"/>
        <v>"default_value":"row",</v>
      </c>
      <c r="R119" t="str">
        <f t="shared" si="9"/>
        <v>"docs_url":"https://looker.com/docs/r/lookml/types/measure/direction?version=7.14&amp;lookml=new",</v>
      </c>
      <c r="S119" t="str">
        <f t="shared" si="10"/>
        <v>"has_allowed_values":True,</v>
      </c>
      <c r="T119" t="str">
        <f t="shared" si="11"/>
        <v>"allowed_values":["row","column"]</v>
      </c>
    </row>
    <row r="120" spans="1:20" ht="13" x14ac:dyDescent="0.15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596</v>
      </c>
      <c r="F120" s="4">
        <v>2</v>
      </c>
      <c r="H120" s="4" t="s">
        <v>256</v>
      </c>
      <c r="I120" s="4" t="b">
        <v>0</v>
      </c>
      <c r="K120" s="4" t="b">
        <f>IF(COUNTIF($B$2:$B120,B120)&gt;1,TRUE,FALSE)</f>
        <v>1</v>
      </c>
      <c r="L120" t="str">
        <f>IF(
K120,"p["""&amp;B120&amp;"""].update({"&amp;""""&amp;C120&amp;""":{"&amp;_xlfn.CONCAT(N120:T120)&amp;"}})","p.update("&amp;M120&amp;")"
)</f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>"{"&amp;""""&amp;B120
&amp;""":{"&amp;""""&amp;C120&amp;""":{"&amp;_xlfn.CONCAT(N120:T120)&amp;"}}}"</f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6"/>
        <v>"type":"list_unquoted",</v>
      </c>
      <c r="O120" t="str">
        <f t="shared" si="7"/>
        <v>"subtype":"field-ref",</v>
      </c>
      <c r="P120" t="str">
        <f t="shared" si="8"/>
        <v>"indent":2,</v>
      </c>
      <c r="Q120" t="str">
        <f t="shared" si="12"/>
        <v>"default_value":"",</v>
      </c>
      <c r="R120" t="str">
        <f t="shared" si="9"/>
        <v>"docs_url":"https://looker.com/docs/r/lookml/types/measure/drill_fields?version=7.14&amp;lookml=new",</v>
      </c>
      <c r="S120" t="str">
        <f t="shared" si="10"/>
        <v>"has_allowed_values":False,</v>
      </c>
      <c r="T120" t="str">
        <f t="shared" si="11"/>
        <v>"allowed_values":""</v>
      </c>
    </row>
    <row r="121" spans="1:20" ht="13" x14ac:dyDescent="0.15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592</v>
      </c>
      <c r="H121" s="4" t="s">
        <v>257</v>
      </c>
      <c r="I121" s="4" t="b">
        <v>0</v>
      </c>
      <c r="K121" s="4" t="b">
        <f>IF(COUNTIF($B$2:$B121,B121)&gt;1,TRUE,FALSE)</f>
        <v>1</v>
      </c>
      <c r="L121" t="str">
        <f>IF(
K121,"p["""&amp;B121&amp;"""].update({"&amp;""""&amp;C121&amp;""":{"&amp;_xlfn.CONCAT(N121:T121)&amp;"}})","p.update("&amp;M121&amp;")"
)</f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>"{"&amp;""""&amp;B121
&amp;""":{"&amp;""""&amp;C121&amp;""":{"&amp;_xlfn.CONCAT(N121:T121)&amp;"}}}"</f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6"/>
        <v>"type":"string",</v>
      </c>
      <c r="O121" t="str">
        <f t="shared" si="7"/>
        <v>"subtype":"string",</v>
      </c>
      <c r="P121" t="str">
        <f t="shared" si="8"/>
        <v>"indent":2,</v>
      </c>
      <c r="Q121" t="str">
        <f t="shared" si="12"/>
        <v>"default_value":"",</v>
      </c>
      <c r="R121" t="str">
        <f t="shared" si="9"/>
        <v>"docs_url":"https://looker.com/docs/r/lookml/types/measure/fanout_on?version=7.14&amp;lookml=new",</v>
      </c>
      <c r="S121" t="str">
        <f t="shared" si="10"/>
        <v>"has_allowed_values":False,</v>
      </c>
      <c r="T121" t="str">
        <f t="shared" si="11"/>
        <v>"allowed_values":""</v>
      </c>
    </row>
    <row r="122" spans="1:20" ht="13" x14ac:dyDescent="0.15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258</v>
      </c>
      <c r="I122" s="4" t="b">
        <v>0</v>
      </c>
      <c r="K122" s="4" t="b">
        <f>IF(COUNTIF($B$2:$B122,B122)&gt;1,TRUE,FALSE)</f>
        <v>0</v>
      </c>
      <c r="L122" t="str">
        <f>IF(
K122,"p["""&amp;B122&amp;"""].update({"&amp;""""&amp;C122&amp;""":{"&amp;_xlfn.CONCAT(N122:T122)&amp;"}})","p.update("&amp;M122&amp;")"
)</f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>"{"&amp;""""&amp;B122
&amp;""":{"&amp;""""&amp;C122&amp;""":{"&amp;_xlfn.CONCAT(N122:T122)&amp;"}}}"</f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6"/>
        <v>"type":"filters",</v>
      </c>
      <c r="O122" t="str">
        <f t="shared" si="7"/>
        <v>"subtype":"identifier",</v>
      </c>
      <c r="P122" t="str">
        <f t="shared" si="8"/>
        <v>"indent":2,</v>
      </c>
      <c r="Q122" t="str">
        <f t="shared" si="12"/>
        <v>"default_value":"",</v>
      </c>
      <c r="R122" t="str">
        <f t="shared" si="9"/>
        <v>"docs_url":"https://looker.com/docs/r/lookml/types/measure/filters?version=7.14&amp;lookml=new",</v>
      </c>
      <c r="S122" t="str">
        <f t="shared" si="10"/>
        <v>"has_allowed_values":False,</v>
      </c>
      <c r="T122" t="str">
        <f t="shared" si="11"/>
        <v>"allowed_values":""</v>
      </c>
    </row>
    <row r="123" spans="1:20" ht="13" x14ac:dyDescent="0.15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592</v>
      </c>
      <c r="H123" s="4" t="s">
        <v>259</v>
      </c>
      <c r="I123" s="4" t="b">
        <v>0</v>
      </c>
      <c r="K123" s="4" t="b">
        <f>IF(COUNTIF($B$2:$B123,B123)&gt;1,TRUE,FALSE)</f>
        <v>1</v>
      </c>
      <c r="L123" t="str">
        <f>IF(
K123,"p["""&amp;B123&amp;"""].update({"&amp;""""&amp;C123&amp;""":{"&amp;_xlfn.CONCAT(N123:T123)&amp;"}})","p.update("&amp;M123&amp;")"
)</f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>"{"&amp;""""&amp;B123
&amp;""":{"&amp;""""&amp;C123&amp;""":{"&amp;_xlfn.CONCAT(N123:T123)&amp;"}}}"</f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6"/>
        <v>"type":"string",</v>
      </c>
      <c r="O123" t="str">
        <f t="shared" si="7"/>
        <v>"subtype":"possibly-localized-string",</v>
      </c>
      <c r="P123" t="str">
        <f t="shared" si="8"/>
        <v>"indent":2,</v>
      </c>
      <c r="Q123" t="str">
        <f t="shared" si="12"/>
        <v>"default_value":"",</v>
      </c>
      <c r="R123" t="str">
        <f t="shared" si="9"/>
        <v>"docs_url":"https://looker.com/docs/r/lookml/types/measure/group_label?version=7.14&amp;lookml=new",</v>
      </c>
      <c r="S123" t="str">
        <f t="shared" si="10"/>
        <v>"has_allowed_values":False,</v>
      </c>
      <c r="T123" t="str">
        <f t="shared" si="11"/>
        <v>"allowed_values":""</v>
      </c>
    </row>
    <row r="124" spans="1:20" ht="13" x14ac:dyDescent="0.15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592</v>
      </c>
      <c r="H124" s="4" t="s">
        <v>260</v>
      </c>
      <c r="I124" s="4" t="b">
        <v>0</v>
      </c>
      <c r="K124" s="4" t="b">
        <f>IF(COUNTIF($B$2:$B124,B124)&gt;1,TRUE,FALSE)</f>
        <v>1</v>
      </c>
      <c r="L124" t="str">
        <f>IF(
K124,"p["""&amp;B124&amp;"""].update({"&amp;""""&amp;C124&amp;""":{"&amp;_xlfn.CONCAT(N124:T124)&amp;"}})","p.update("&amp;M124&amp;")"
)</f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>"{"&amp;""""&amp;B124
&amp;""":{"&amp;""""&amp;C124&amp;""":{"&amp;_xlfn.CONCAT(N124:T124)&amp;"}}}"</f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6"/>
        <v>"type":"string",</v>
      </c>
      <c r="O124" t="str">
        <f t="shared" si="7"/>
        <v>"subtype":"possibly-localized-string",</v>
      </c>
      <c r="P124" t="str">
        <f t="shared" si="8"/>
        <v>"indent":2,</v>
      </c>
      <c r="Q124" t="str">
        <f t="shared" si="12"/>
        <v>"default_value":"",</v>
      </c>
      <c r="R124" t="str">
        <f t="shared" si="9"/>
        <v>"docs_url":"https://looker.com/docs/r/lookml/types/measure/group_item_label?version=7.14&amp;lookml=new",</v>
      </c>
      <c r="S124" t="str">
        <f t="shared" si="10"/>
        <v>"has_allowed_values":False,</v>
      </c>
      <c r="T124" t="str">
        <f t="shared" si="11"/>
        <v>"allowed_values":""</v>
      </c>
    </row>
    <row r="125" spans="1:20" ht="13" x14ac:dyDescent="0.15">
      <c r="A125" s="7">
        <v>134</v>
      </c>
      <c r="B125" s="6" t="s">
        <v>22</v>
      </c>
      <c r="C125" s="6" t="s">
        <v>61</v>
      </c>
      <c r="D125" s="4" t="s">
        <v>614</v>
      </c>
      <c r="E125" s="4" t="s">
        <v>22</v>
      </c>
      <c r="F125" s="4">
        <v>2</v>
      </c>
      <c r="G125" s="4" t="s">
        <v>592</v>
      </c>
      <c r="H125" s="4" t="s">
        <v>261</v>
      </c>
      <c r="I125" s="4" t="b">
        <v>0</v>
      </c>
      <c r="K125" s="4" t="b">
        <f>IF(COUNTIF($B$2:$B125,B125)&gt;1,TRUE,FALSE)</f>
        <v>1</v>
      </c>
      <c r="L125" t="str">
        <f>IF(
K125,"p["""&amp;B125&amp;"""].update({"&amp;""""&amp;C125&amp;""":{"&amp;_xlfn.CONCAT(N125:T125)&amp;"}})","p.update("&amp;M125&amp;")"
)</f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>"{"&amp;""""&amp;B125
&amp;""":{"&amp;""""&amp;C125&amp;""":{"&amp;_xlfn.CONCAT(N125:T125)&amp;"}}}"</f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6"/>
        <v>"type":"html",</v>
      </c>
      <c r="O125" t="str">
        <f t="shared" si="7"/>
        <v>"subtype":"html-block ",</v>
      </c>
      <c r="P125" t="str">
        <f t="shared" si="8"/>
        <v>"indent":2,</v>
      </c>
      <c r="Q125" t="str">
        <f t="shared" si="12"/>
        <v>"default_value":"",</v>
      </c>
      <c r="R125" t="str">
        <f t="shared" si="9"/>
        <v>"docs_url":"https://looker.com/docs/r/lookml/types/measure/html?version=7.14&amp;lookml=new",</v>
      </c>
      <c r="S125" t="str">
        <f t="shared" si="10"/>
        <v>"has_allowed_values":False,</v>
      </c>
      <c r="T125" t="str">
        <f t="shared" si="11"/>
        <v>"allowed_values":""</v>
      </c>
    </row>
    <row r="126" spans="1:20" ht="13" x14ac:dyDescent="0.15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599</v>
      </c>
      <c r="F126" s="4">
        <v>2</v>
      </c>
      <c r="H126" s="4" t="s">
        <v>262</v>
      </c>
      <c r="I126" s="4" t="b">
        <v>0</v>
      </c>
      <c r="K126" s="4" t="b">
        <f>IF(COUNTIF($B$2:$B126,B126)&gt;1,TRUE,FALSE)</f>
        <v>1</v>
      </c>
      <c r="L126" t="str">
        <f>IF(
K126,"p["""&amp;B126&amp;"""].update({"&amp;""""&amp;C126&amp;""":{"&amp;_xlfn.CONCAT(N126:T126)&amp;"}})","p.update("&amp;M126&amp;")"
)</f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>"{"&amp;""""&amp;B126
&amp;""":{"&amp;""""&amp;C126&amp;""":{"&amp;_xlfn.CONCAT(N126:T126)&amp;"}}}"</f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6"/>
        <v>"type":"string_unquoted",</v>
      </c>
      <c r="O126" t="str">
        <f t="shared" si="7"/>
        <v>"subtype":"field-ref",</v>
      </c>
      <c r="P126" t="str">
        <f t="shared" si="8"/>
        <v>"indent":2,</v>
      </c>
      <c r="Q126" t="str">
        <f t="shared" si="12"/>
        <v>"default_value":"",</v>
      </c>
      <c r="R126" t="str">
        <f t="shared" si="9"/>
        <v>"docs_url":"https://looker.com/docs/r/lookml/types/measure/label_from_parameter?version=7.14&amp;lookml=new",</v>
      </c>
      <c r="S126" t="str">
        <f t="shared" si="10"/>
        <v>"has_allowed_values":False,</v>
      </c>
      <c r="T126" t="str">
        <f t="shared" si="11"/>
        <v>"allowed_values":""</v>
      </c>
    </row>
    <row r="127" spans="1:20" ht="13" x14ac:dyDescent="0.15">
      <c r="A127" s="7">
        <v>136</v>
      </c>
      <c r="B127" s="6" t="s">
        <v>25</v>
      </c>
      <c r="C127" s="6" t="s">
        <v>61</v>
      </c>
      <c r="D127" s="4" t="s">
        <v>541</v>
      </c>
      <c r="E127" s="4" t="s">
        <v>541</v>
      </c>
      <c r="F127" s="4">
        <v>2</v>
      </c>
      <c r="H127" s="4" t="s">
        <v>263</v>
      </c>
      <c r="I127" s="4" t="b">
        <v>0</v>
      </c>
      <c r="K127" s="4" t="b">
        <f>IF(COUNTIF($B$2:$B127,B127)&gt;1,TRUE,FALSE)</f>
        <v>1</v>
      </c>
      <c r="L127" t="str">
        <f>IF(
K127,"p["""&amp;B127&amp;"""].update({"&amp;""""&amp;C127&amp;""":{"&amp;_xlfn.CONCAT(N127:T127)&amp;"}})","p.update("&amp;M127&amp;")"
)</f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>"{"&amp;""""&amp;B127
&amp;""":{"&amp;""""&amp;C127&amp;""":{"&amp;_xlfn.CONCAT(N127:T127)&amp;"}}}"</f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6"/>
        <v>"type":"anonymous_construct_plural",</v>
      </c>
      <c r="O127" t="str">
        <f t="shared" si="7"/>
        <v>"subtype":"anonymous_construct_plural",</v>
      </c>
      <c r="P127" t="str">
        <f t="shared" si="8"/>
        <v>"indent":2,</v>
      </c>
      <c r="Q127" t="str">
        <f t="shared" si="12"/>
        <v>"default_value":"",</v>
      </c>
      <c r="R127" t="str">
        <f t="shared" si="9"/>
        <v>"docs_url":"https://looker.com/docs/r/lookml/types/measure/link?version=7.14&amp;lookml=new",</v>
      </c>
      <c r="S127" t="str">
        <f t="shared" si="10"/>
        <v>"has_allowed_values":False,</v>
      </c>
      <c r="T127" t="str">
        <f t="shared" si="11"/>
        <v>"allowed_values":""</v>
      </c>
    </row>
    <row r="128" spans="1:20" ht="13" x14ac:dyDescent="0.15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599</v>
      </c>
      <c r="F128" s="4">
        <v>2</v>
      </c>
      <c r="H128" s="4" t="s">
        <v>264</v>
      </c>
      <c r="I128" s="4" t="b">
        <v>0</v>
      </c>
      <c r="K128" s="4" t="b">
        <f>IF(COUNTIF($B$2:$B128,B128)&gt;1,TRUE,FALSE)</f>
        <v>0</v>
      </c>
      <c r="L128" t="str">
        <f>IF(
K128,"p["""&amp;B128&amp;"""].update({"&amp;""""&amp;C128&amp;""":{"&amp;_xlfn.CONCAT(N128:T128)&amp;"}})","p.update("&amp;M128&amp;")"
)</f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>"{"&amp;""""&amp;B128
&amp;""":{"&amp;""""&amp;C128&amp;""":{"&amp;_xlfn.CONCAT(N128:T128)&amp;"}}}"</f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6"/>
        <v>"type":"string_unquoted",</v>
      </c>
      <c r="O128" t="str">
        <f t="shared" si="7"/>
        <v>"subtype":"field-ref",</v>
      </c>
      <c r="P128" t="str">
        <f t="shared" si="8"/>
        <v>"indent":2,</v>
      </c>
      <c r="Q128" t="str">
        <f t="shared" si="12"/>
        <v>"default_value":"",</v>
      </c>
      <c r="R128" t="str">
        <f t="shared" si="9"/>
        <v>"docs_url":"https://looker.com/docs/r/lookml/types/measure/list_field?version=7.14&amp;lookml=new",</v>
      </c>
      <c r="S128" t="str">
        <f t="shared" si="10"/>
        <v>"has_allowed_values":False,</v>
      </c>
      <c r="T128" t="str">
        <f t="shared" si="11"/>
        <v>"allowed_values":""</v>
      </c>
    </row>
    <row r="129" spans="1:20" ht="13" x14ac:dyDescent="0.15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599</v>
      </c>
      <c r="F129" s="4">
        <v>2</v>
      </c>
      <c r="H129" s="4" t="s">
        <v>265</v>
      </c>
      <c r="I129" s="4" t="b">
        <v>0</v>
      </c>
      <c r="K129" s="4" t="b">
        <f>IF(COUNTIF($B$2:$B129,B129)&gt;1,TRUE,FALSE)</f>
        <v>1</v>
      </c>
      <c r="L129" t="str">
        <f>IF(
K129,"p["""&amp;B129&amp;"""].update({"&amp;""""&amp;C129&amp;""":{"&amp;_xlfn.CONCAT(N129:T129)&amp;"}})","p.update("&amp;M129&amp;")"
)</f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>"{"&amp;""""&amp;B129
&amp;""":{"&amp;""""&amp;C129&amp;""":{"&amp;_xlfn.CONCAT(N129:T129)&amp;"}}}"</f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6"/>
        <v>"type":"string_unquoted",</v>
      </c>
      <c r="O129" t="str">
        <f t="shared" si="7"/>
        <v>"subtype":"field-ref",</v>
      </c>
      <c r="P129" t="str">
        <f t="shared" si="8"/>
        <v>"indent":2,</v>
      </c>
      <c r="Q129" t="str">
        <f t="shared" si="12"/>
        <v>"default_value":"",</v>
      </c>
      <c r="R129" t="str">
        <f t="shared" si="9"/>
        <v>"docs_url":"https://looker.com/docs/r/lookml/types/measure/order_by_field?version=7.14&amp;lookml=new",</v>
      </c>
      <c r="S129" t="str">
        <f t="shared" si="10"/>
        <v>"has_allowed_values":False,</v>
      </c>
      <c r="T129" t="str">
        <f t="shared" si="11"/>
        <v>"allowed_values":""</v>
      </c>
    </row>
    <row r="130" spans="1:20" ht="13" x14ac:dyDescent="0.15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599</v>
      </c>
      <c r="F130" s="4">
        <v>2</v>
      </c>
      <c r="G130" s="4">
        <v>75</v>
      </c>
      <c r="H130" s="4" t="s">
        <v>266</v>
      </c>
      <c r="I130" s="4" t="b">
        <v>0</v>
      </c>
      <c r="K130" s="4" t="b">
        <f>IF(COUNTIF($B$2:$B130,B130)&gt;1,TRUE,FALSE)</f>
        <v>0</v>
      </c>
      <c r="L130" t="str">
        <f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6"/>
        <v>"type":"string_unquoted",</v>
      </c>
      <c r="O130" t="str">
        <f t="shared" si="7"/>
        <v>"subtype":"number",</v>
      </c>
      <c r="P130" t="str">
        <f t="shared" si="8"/>
        <v>"indent":2,</v>
      </c>
      <c r="Q130" t="str">
        <f t="shared" si="12"/>
        <v>"default_value":"75",</v>
      </c>
      <c r="R130" t="str">
        <f t="shared" si="9"/>
        <v>"docs_url":"https://looker.com/docs/r/lookml/types/measure/percentile?version=7.14&amp;lookml=new",</v>
      </c>
      <c r="S130" t="str">
        <f t="shared" si="10"/>
        <v>"has_allowed_values":False,</v>
      </c>
      <c r="T130" t="str">
        <f t="shared" si="11"/>
        <v>"allowed_values":""</v>
      </c>
    </row>
    <row r="131" spans="1:20" ht="13" x14ac:dyDescent="0.15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599</v>
      </c>
      <c r="F131" s="4">
        <v>2</v>
      </c>
      <c r="G131" s="4">
        <v>6</v>
      </c>
      <c r="H131" s="4" t="s">
        <v>267</v>
      </c>
      <c r="I131" s="4" t="b">
        <v>0</v>
      </c>
      <c r="K131" s="4" t="b">
        <f>IF(COUNTIF($B$2:$B131,B131)&gt;1,TRUE,FALSE)</f>
        <v>0</v>
      </c>
      <c r="L131" t="str">
        <f>IF(
K131,"p["""&amp;B131&amp;"""].update({"&amp;""""&amp;C131&amp;""":{"&amp;_xlfn.CONCAT(N131:T131)&amp;"}})","p.update("&amp;M131&amp;")"
)</f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>"{"&amp;""""&amp;B131
&amp;""":{"&amp;""""&amp;C131&amp;""":{"&amp;_xlfn.CONCAT(N131:T131)&amp;"}}}"</f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O194" si="13">"""type"":"&amp;""""&amp;E131&amp;""","</f>
        <v>"type":"string_unquoted",</v>
      </c>
      <c r="O131" t="str">
        <f t="shared" ref="O131:O194" si="14">"""subtype"":"&amp;""""&amp;D131&amp;""","</f>
        <v>"subtype":"number",</v>
      </c>
      <c r="P131" t="str">
        <f t="shared" ref="P131:P194" si="15">"""indent"":"&amp;F131&amp;","</f>
        <v>"indent":2,</v>
      </c>
      <c r="Q131" t="str">
        <f t="shared" si="12"/>
        <v>"default_value":"6",</v>
      </c>
      <c r="R131" t="str">
        <f t="shared" ref="R131:R194" si="16">"""docs_url"":"&amp;""""&amp;H131&amp;""","</f>
        <v>"docs_url":"https://looker.com/docs/r/lookml/types/measure/precision?version=7.14&amp;lookml=new",</v>
      </c>
      <c r="S131" t="str">
        <f t="shared" ref="S131:S194" si="17">"""has_allowed_values"":"&amp;IF(I131,"True,","False"&amp;",")</f>
        <v>"has_allowed_values":False,</v>
      </c>
      <c r="T131" t="str">
        <f t="shared" ref="T131:T194" si="18">"""allowed_values"":"&amp;IF(J131&lt;&gt;"",J131,"""""")</f>
        <v>"allowed_values":""</v>
      </c>
    </row>
    <row r="132" spans="1:20" ht="13" x14ac:dyDescent="0.15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596</v>
      </c>
      <c r="F132" s="4">
        <v>2</v>
      </c>
      <c r="H132" s="4" t="s">
        <v>268</v>
      </c>
      <c r="I132" s="4" t="b">
        <v>0</v>
      </c>
      <c r="K132" s="4" t="b">
        <f>IF(COUNTIF($B$2:$B132,B132)&gt;1,TRUE,FALSE)</f>
        <v>1</v>
      </c>
      <c r="L132" t="str">
        <f>IF(
K132,"p["""&amp;B132&amp;"""].update({"&amp;""""&amp;C132&amp;""":{"&amp;_xlfn.CONCAT(N132:T132)&amp;"}})","p.update("&amp;M132&amp;")"
)</f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>"{"&amp;""""&amp;B132
&amp;""":{"&amp;""""&amp;C132&amp;""":{"&amp;_xlfn.CONCAT(N132:T132)&amp;"}}}"</f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13"/>
        <v>"type":"list_unquoted",</v>
      </c>
      <c r="O132" t="str">
        <f t="shared" si="14"/>
        <v>"subtype":"field-ref",</v>
      </c>
      <c r="P132" t="str">
        <f t="shared" si="15"/>
        <v>"indent":2,</v>
      </c>
      <c r="Q132" t="str">
        <f t="shared" si="12"/>
        <v>"default_value":"",</v>
      </c>
      <c r="R132" t="str">
        <f t="shared" si="16"/>
        <v>"docs_url":"https://looker.com/docs/r/lookml/types/measure/required_fields?version=7.14&amp;lookml=new",</v>
      </c>
      <c r="S132" t="str">
        <f t="shared" si="17"/>
        <v>"has_allowed_values":False,</v>
      </c>
      <c r="T132" t="str">
        <f t="shared" si="18"/>
        <v>"allowed_values":""</v>
      </c>
    </row>
    <row r="133" spans="1:20" ht="13" x14ac:dyDescent="0.15">
      <c r="A133" s="7">
        <v>142</v>
      </c>
      <c r="B133" s="6" t="s">
        <v>34</v>
      </c>
      <c r="C133" s="6" t="s">
        <v>61</v>
      </c>
      <c r="D133" s="4" t="s">
        <v>613</v>
      </c>
      <c r="E133" s="4" t="s">
        <v>34</v>
      </c>
      <c r="F133" s="4">
        <v>2</v>
      </c>
      <c r="G133" s="4" t="s">
        <v>592</v>
      </c>
      <c r="H133" s="4" t="s">
        <v>269</v>
      </c>
      <c r="I133" s="4" t="b">
        <v>0</v>
      </c>
      <c r="K133" s="4" t="b">
        <f>IF(COUNTIF($B$2:$B133,B133)&gt;1,TRUE,FALSE)</f>
        <v>1</v>
      </c>
      <c r="L133" t="str">
        <f>IF(
K133,"p["""&amp;B133&amp;"""].update({"&amp;""""&amp;C133&amp;""":{"&amp;_xlfn.CONCAT(N133:T133)&amp;"}})","p.update("&amp;M133&amp;")"
)</f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>"{"&amp;""""&amp;B133
&amp;""":{"&amp;""""&amp;C133&amp;""":{"&amp;_xlfn.CONCAT(N133:T133)&amp;"}}}"</f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13"/>
        <v>"type":"sql",</v>
      </c>
      <c r="O133" t="str">
        <f t="shared" si="14"/>
        <v>"subtype":"sql-block ",</v>
      </c>
      <c r="P133" t="str">
        <f t="shared" si="15"/>
        <v>"indent":2,</v>
      </c>
      <c r="Q133" t="str">
        <f t="shared" si="12"/>
        <v>"default_value":"",</v>
      </c>
      <c r="R133" t="str">
        <f t="shared" si="16"/>
        <v>"docs_url":"https://looker.com/docs/r/lookml/types/measure/sql?version=7.14&amp;lookml=new",</v>
      </c>
      <c r="S133" t="str">
        <f t="shared" si="17"/>
        <v>"has_allowed_values":False,</v>
      </c>
      <c r="T133" t="str">
        <f t="shared" si="18"/>
        <v>"allowed_values":""</v>
      </c>
    </row>
    <row r="134" spans="1:20" ht="13" x14ac:dyDescent="0.15">
      <c r="A134" s="7">
        <v>143</v>
      </c>
      <c r="B134" s="6" t="s">
        <v>65</v>
      </c>
      <c r="C134" s="6" t="s">
        <v>61</v>
      </c>
      <c r="D134" s="4" t="s">
        <v>613</v>
      </c>
      <c r="E134" s="4" t="s">
        <v>34</v>
      </c>
      <c r="F134" s="4">
        <v>2</v>
      </c>
      <c r="G134" s="4" t="s">
        <v>592</v>
      </c>
      <c r="H134" s="4" t="s">
        <v>270</v>
      </c>
      <c r="I134" s="4" t="b">
        <v>0</v>
      </c>
      <c r="K134" s="4" t="b">
        <f>IF(COUNTIF($B$2:$B134,B134)&gt;1,TRUE,FALSE)</f>
        <v>0</v>
      </c>
      <c r="L134" t="str">
        <f>IF(
K134,"p["""&amp;B134&amp;"""].update({"&amp;""""&amp;C134&amp;""":{"&amp;_xlfn.CONCAT(N134:T134)&amp;"}})","p.update("&amp;M134&amp;")"
)</f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>"{"&amp;""""&amp;B134
&amp;""":{"&amp;""""&amp;C134&amp;""":{"&amp;_xlfn.CONCAT(N134:T134)&amp;"}}}"</f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13"/>
        <v>"type":"sql",</v>
      </c>
      <c r="O134" t="str">
        <f t="shared" si="14"/>
        <v>"subtype":"sql-block ",</v>
      </c>
      <c r="P134" t="str">
        <f t="shared" si="15"/>
        <v>"indent":2,</v>
      </c>
      <c r="Q134" t="str">
        <f t="shared" si="12"/>
        <v>"default_value":"",</v>
      </c>
      <c r="R134" t="str">
        <f t="shared" si="16"/>
        <v>"docs_url":"https://looker.com/docs/r/lookml/types/measure/sql_distinct_key?version=7.14&amp;lookml=new",</v>
      </c>
      <c r="S134" t="str">
        <f t="shared" si="17"/>
        <v>"has_allowed_values":False,</v>
      </c>
      <c r="T134" t="str">
        <f t="shared" si="18"/>
        <v>"allowed_values":""</v>
      </c>
    </row>
    <row r="135" spans="1:20" ht="13" x14ac:dyDescent="0.15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592</v>
      </c>
      <c r="H135" s="4" t="s">
        <v>271</v>
      </c>
      <c r="I135" s="4" t="b">
        <v>0</v>
      </c>
      <c r="K135" s="4" t="b">
        <f>IF(COUNTIF($B$2:$B135,B135)&gt;1,TRUE,FALSE)</f>
        <v>1</v>
      </c>
      <c r="L135" t="str">
        <f>IF(
K135,"p["""&amp;B135&amp;"""].update({"&amp;""""&amp;C135&amp;""":{"&amp;_xlfn.CONCAT(N135:T135)&amp;"}})","p.update("&amp;M135&amp;")"
)</f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>"{"&amp;""""&amp;B135
&amp;""":{"&amp;""""&amp;C135&amp;""":{"&amp;_xlfn.CONCAT(N135:T135)&amp;"}}}"</f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13"/>
        <v>"type":"string",</v>
      </c>
      <c r="O135" t="str">
        <f t="shared" si="14"/>
        <v>"subtype":"string",</v>
      </c>
      <c r="P135" t="str">
        <f t="shared" si="15"/>
        <v>"indent":2,</v>
      </c>
      <c r="Q135" t="str">
        <f t="shared" si="12"/>
        <v>"default_value":"",</v>
      </c>
      <c r="R135" t="str">
        <f t="shared" si="16"/>
        <v>"docs_url":"https://looker.com/docs/r/lookml/types/measure/value_format?version=7.14&amp;lookml=new",</v>
      </c>
      <c r="S135" t="str">
        <f t="shared" si="17"/>
        <v>"has_allowed_values":False,</v>
      </c>
      <c r="T135" t="str">
        <f t="shared" si="18"/>
        <v>"allowed_values":""</v>
      </c>
    </row>
    <row r="136" spans="1:20" ht="13" x14ac:dyDescent="0.15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599</v>
      </c>
      <c r="F136" s="4">
        <v>2</v>
      </c>
      <c r="G136" s="4" t="s">
        <v>600</v>
      </c>
      <c r="H136" s="4" t="s">
        <v>272</v>
      </c>
      <c r="I136" s="4" t="b">
        <v>0</v>
      </c>
      <c r="K136" s="4" t="b">
        <f>IF(COUNTIF($B$2:$B136,B136)&gt;1,TRUE,FALSE)</f>
        <v>1</v>
      </c>
      <c r="L136" t="str">
        <f>IF(
K136,"p["""&amp;B136&amp;"""].update({"&amp;""""&amp;C136&amp;""":{"&amp;_xlfn.CONCAT(N136:T136)&amp;"}})","p.update("&amp;M136&amp;")"
)</f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>"{"&amp;""""&amp;B136
&amp;""":{"&amp;""""&amp;C136&amp;""":{"&amp;_xlfn.CONCAT(N136:T136)&amp;"}}}"</f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13"/>
        <v>"type":"string_unquoted",</v>
      </c>
      <c r="O136" t="str">
        <f t="shared" si="14"/>
        <v>"subtype":"value-format-ref",</v>
      </c>
      <c r="P136" t="str">
        <f t="shared" si="15"/>
        <v>"indent":2,</v>
      </c>
      <c r="Q136" t="str">
        <f t="shared" si="12"/>
        <v>"default_value":"decimal_0",</v>
      </c>
      <c r="R136" t="str">
        <f t="shared" si="16"/>
        <v>"docs_url":"https://looker.com/docs/r/lookml/types/measure/value_format_name?version=7.14&amp;lookml=new",</v>
      </c>
      <c r="S136" t="str">
        <f t="shared" si="17"/>
        <v>"has_allowed_values":False,</v>
      </c>
      <c r="T136" t="str">
        <f t="shared" si="18"/>
        <v>"allowed_values":""</v>
      </c>
    </row>
    <row r="137" spans="1:20" ht="13" x14ac:dyDescent="0.15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596</v>
      </c>
      <c r="F137" s="4">
        <v>2</v>
      </c>
      <c r="H137" s="4" t="s">
        <v>273</v>
      </c>
      <c r="I137" s="4" t="b">
        <v>0</v>
      </c>
      <c r="K137" s="4" t="b">
        <f>IF(COUNTIF($B$2:$B137,B137)&gt;1,TRUE,FALSE)</f>
        <v>1</v>
      </c>
      <c r="L137" t="str">
        <f>IF(
K137,"p["""&amp;B137&amp;"""].update({"&amp;""""&amp;C137&amp;""":{"&amp;_xlfn.CONCAT(N137:T137)&amp;"}})","p.update("&amp;M137&amp;")"
)</f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>"{"&amp;""""&amp;B137
&amp;""":{"&amp;""""&amp;C137&amp;""":{"&amp;_xlfn.CONCAT(N137:T137)&amp;"}}}"</f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13"/>
        <v>"type":"list_unquoted",</v>
      </c>
      <c r="O137" t="str">
        <f t="shared" si="14"/>
        <v>"subtype":"identifier",</v>
      </c>
      <c r="P137" t="str">
        <f t="shared" si="15"/>
        <v>"indent":2,</v>
      </c>
      <c r="Q137" t="str">
        <f t="shared" si="12"/>
        <v>"default_value":"",</v>
      </c>
      <c r="R137" t="str">
        <f t="shared" si="16"/>
        <v>"docs_url":"https://looker.com/docs/r/lookml/types/measure/alias?version=7.14&amp;lookml=new",</v>
      </c>
      <c r="S137" t="str">
        <f t="shared" si="17"/>
        <v>"has_allowed_values":False,</v>
      </c>
      <c r="T137" t="str">
        <f t="shared" si="18"/>
        <v>"allowed_values":""</v>
      </c>
    </row>
    <row r="138" spans="1:20" ht="13" x14ac:dyDescent="0.15">
      <c r="A138" s="7">
        <v>147</v>
      </c>
      <c r="B138" s="6" t="s">
        <v>9</v>
      </c>
      <c r="C138" s="6" t="s">
        <v>61</v>
      </c>
      <c r="D138" s="4" t="s">
        <v>569</v>
      </c>
      <c r="E138" s="4" t="s">
        <v>569</v>
      </c>
      <c r="F138" s="4">
        <v>2</v>
      </c>
      <c r="G138" s="4" t="s">
        <v>605</v>
      </c>
      <c r="H138" s="4" t="s">
        <v>274</v>
      </c>
      <c r="I138" s="4" t="b">
        <v>0</v>
      </c>
      <c r="K138" s="4" t="b">
        <f>IF(COUNTIF($B$2:$B138,B138)&gt;1,TRUE,FALSE)</f>
        <v>1</v>
      </c>
      <c r="L138" t="str">
        <f>IF(
K138,"p["""&amp;B138&amp;"""].update({"&amp;""""&amp;C138&amp;""":{"&amp;_xlfn.CONCAT(N138:T138)&amp;"}})","p.update("&amp;M138&amp;")"
)</f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>"{"&amp;""""&amp;B138
&amp;""":{"&amp;""""&amp;C138&amp;""":{"&amp;_xlfn.CONCAT(N138:T138)&amp;"}}}"</f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13"/>
        <v>"type":"yesno",</v>
      </c>
      <c r="O138" t="str">
        <f t="shared" si="14"/>
        <v>"subtype":"yesno",</v>
      </c>
      <c r="P138" t="str">
        <f t="shared" si="15"/>
        <v>"indent":2,</v>
      </c>
      <c r="Q138" t="str">
        <f t="shared" si="12"/>
        <v>"default_value":"yes",</v>
      </c>
      <c r="R138" t="str">
        <f t="shared" si="16"/>
        <v>"docs_url":"https://looker.com/docs/r/lookml/types/measure/convert_tz?version=7.14&amp;lookml=new",</v>
      </c>
      <c r="S138" t="str">
        <f t="shared" si="17"/>
        <v>"has_allowed_values":False,</v>
      </c>
      <c r="T138" t="str">
        <f t="shared" si="18"/>
        <v>"allowed_values":""</v>
      </c>
    </row>
    <row r="139" spans="1:20" ht="13" x14ac:dyDescent="0.15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592</v>
      </c>
      <c r="H139" s="4" t="s">
        <v>275</v>
      </c>
      <c r="I139" s="4" t="b">
        <v>0</v>
      </c>
      <c r="K139" s="4" t="b">
        <f>IF(COUNTIF($B$2:$B139,B139)&gt;1,TRUE,FALSE)</f>
        <v>1</v>
      </c>
      <c r="L139" t="str">
        <f>IF(
K139,"p["""&amp;B139&amp;"""].update({"&amp;""""&amp;C139&amp;""":{"&amp;_xlfn.CONCAT(N139:T139)&amp;"}})","p.update("&amp;M139&amp;")"
)</f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>"{"&amp;""""&amp;B139
&amp;""":{"&amp;""""&amp;C139&amp;""":{"&amp;_xlfn.CONCAT(N139:T139)&amp;"}}}"</f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13"/>
        <v>"type":"string",</v>
      </c>
      <c r="O139" t="str">
        <f t="shared" si="14"/>
        <v>"subtype":"possibly-localized-string",</v>
      </c>
      <c r="P139" t="str">
        <f t="shared" si="15"/>
        <v>"indent":2,</v>
      </c>
      <c r="Q139" t="str">
        <f t="shared" si="12"/>
        <v>"default_value":"",</v>
      </c>
      <c r="R139" t="str">
        <f t="shared" si="16"/>
        <v>"docs_url":"https://looker.com/docs/r/lookml/types/measure/description?version=7.14&amp;lookml=new",</v>
      </c>
      <c r="S139" t="str">
        <f t="shared" si="17"/>
        <v>"has_allowed_values":False,</v>
      </c>
      <c r="T139" t="str">
        <f t="shared" si="18"/>
        <v>"allowed_values":""</v>
      </c>
    </row>
    <row r="140" spans="1:20" ht="13" x14ac:dyDescent="0.15">
      <c r="A140" s="7">
        <v>149</v>
      </c>
      <c r="B140" s="6" t="s">
        <v>21</v>
      </c>
      <c r="C140" s="6" t="s">
        <v>61</v>
      </c>
      <c r="D140" s="4" t="s">
        <v>569</v>
      </c>
      <c r="E140" s="4" t="s">
        <v>569</v>
      </c>
      <c r="F140" s="4">
        <v>2</v>
      </c>
      <c r="G140" s="4" t="s">
        <v>604</v>
      </c>
      <c r="H140" s="4" t="s">
        <v>276</v>
      </c>
      <c r="I140" s="4" t="b">
        <v>0</v>
      </c>
      <c r="K140" s="4" t="b">
        <f>IF(COUNTIF($B$2:$B140,B140)&gt;1,TRUE,FALSE)</f>
        <v>1</v>
      </c>
      <c r="L140" t="str">
        <f>IF(
K140,"p["""&amp;B140&amp;"""].update({"&amp;""""&amp;C140&amp;""":{"&amp;_xlfn.CONCAT(N140:T140)&amp;"}})","p.update("&amp;M140&amp;")"
)</f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>"{"&amp;""""&amp;B140
&amp;""":{"&amp;""""&amp;C140&amp;""":{"&amp;_xlfn.CONCAT(N140:T140)&amp;"}}}"</f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13"/>
        <v>"type":"yesno",</v>
      </c>
      <c r="O140" t="str">
        <f t="shared" si="14"/>
        <v>"subtype":"yesno",</v>
      </c>
      <c r="P140" t="str">
        <f t="shared" si="15"/>
        <v>"indent":2,</v>
      </c>
      <c r="Q140" t="str">
        <f t="shared" ref="Q140:Q203" si="19">"""default_value"":"&amp;IF(G140="""""",""""",",IF(LEFT(G140,1)="[",G140,""""&amp;G140&amp;"""")&amp;",")</f>
        <v>"default_value":"no",</v>
      </c>
      <c r="R140" t="str">
        <f t="shared" si="16"/>
        <v>"docs_url":"https://looker.com/docs/r/lookml/types/measure/hidden?version=7.14&amp;lookml=new",</v>
      </c>
      <c r="S140" t="str">
        <f t="shared" si="17"/>
        <v>"has_allowed_values":False,</v>
      </c>
      <c r="T140" t="str">
        <f t="shared" si="18"/>
        <v>"allowed_values":""</v>
      </c>
    </row>
    <row r="141" spans="1:20" ht="13" x14ac:dyDescent="0.15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592</v>
      </c>
      <c r="H141" s="4" t="s">
        <v>277</v>
      </c>
      <c r="I141" s="4" t="b">
        <v>0</v>
      </c>
      <c r="K141" s="4" t="b">
        <f>IF(COUNTIF($B$2:$B141,B141)&gt;1,TRUE,FALSE)</f>
        <v>1</v>
      </c>
      <c r="L141" t="str">
        <f>IF(
K141,"p["""&amp;B141&amp;"""].update({"&amp;""""&amp;C141&amp;""":{"&amp;_xlfn.CONCAT(N141:T141)&amp;"}})","p.update("&amp;M141&amp;")"
)</f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>"{"&amp;""""&amp;B141
&amp;""":{"&amp;""""&amp;C141&amp;""":{"&amp;_xlfn.CONCAT(N141:T141)&amp;"}}}"</f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13"/>
        <v>"type":"string",</v>
      </c>
      <c r="O141" t="str">
        <f t="shared" si="14"/>
        <v>"subtype":"possibly-localized-string",</v>
      </c>
      <c r="P141" t="str">
        <f t="shared" si="15"/>
        <v>"indent":2,</v>
      </c>
      <c r="Q141" t="str">
        <f t="shared" si="19"/>
        <v>"default_value":"",</v>
      </c>
      <c r="R141" t="str">
        <f t="shared" si="16"/>
        <v>"docs_url":"https://looker.com/docs/r/lookml/types/measure/label?version=7.14&amp;lookml=new",</v>
      </c>
      <c r="S141" t="str">
        <f t="shared" si="17"/>
        <v>"has_allowed_values":False,</v>
      </c>
      <c r="T141" t="str">
        <f t="shared" si="18"/>
        <v>"allowed_values":""</v>
      </c>
    </row>
    <row r="142" spans="1:20" ht="13" x14ac:dyDescent="0.15">
      <c r="A142" s="7">
        <v>151</v>
      </c>
      <c r="B142" s="6" t="s">
        <v>31</v>
      </c>
      <c r="C142" s="6" t="s">
        <v>61</v>
      </c>
      <c r="D142" s="4" t="s">
        <v>612</v>
      </c>
      <c r="E142" s="4" t="s">
        <v>596</v>
      </c>
      <c r="F142" s="4">
        <v>2</v>
      </c>
      <c r="H142" s="4" t="s">
        <v>278</v>
      </c>
      <c r="I142" s="4" t="b">
        <v>0</v>
      </c>
      <c r="K142" s="4" t="b">
        <f>IF(COUNTIF($B$2:$B142,B142)&gt;1,TRUE,FALSE)</f>
        <v>1</v>
      </c>
      <c r="L142" t="str">
        <f>IF(
K142,"p["""&amp;B142&amp;"""].update({"&amp;""""&amp;C142&amp;""":{"&amp;_xlfn.CONCAT(N142:T142)&amp;"}})","p.update("&amp;M142&amp;")"
)</f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>"{"&amp;""""&amp;B142
&amp;""":{"&amp;""""&amp;C142&amp;""":{"&amp;_xlfn.CONCAT(N142:T142)&amp;"}}}"</f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13"/>
        <v>"type":"list_unquoted",</v>
      </c>
      <c r="O142" t="str">
        <f t="shared" si="14"/>
        <v>"subtype":"access-grant-ref",</v>
      </c>
      <c r="P142" t="str">
        <f t="shared" si="15"/>
        <v>"indent":2,</v>
      </c>
      <c r="Q142" t="str">
        <f t="shared" si="19"/>
        <v>"default_value":"",</v>
      </c>
      <c r="R142" t="str">
        <f t="shared" si="16"/>
        <v>"docs_url":"https://looker.com/docs/r/lookml/types/measure/required_access_grants?version=7.14&amp;lookml=new",</v>
      </c>
      <c r="S142" t="str">
        <f t="shared" si="17"/>
        <v>"has_allowed_values":False,</v>
      </c>
      <c r="T142" t="str">
        <f t="shared" si="18"/>
        <v>"allowed_values":""</v>
      </c>
    </row>
    <row r="143" spans="1:20" ht="13" x14ac:dyDescent="0.15">
      <c r="A143" s="7">
        <v>152</v>
      </c>
      <c r="B143" s="6" t="s">
        <v>45</v>
      </c>
      <c r="C143" s="6" t="s">
        <v>61</v>
      </c>
      <c r="D143" s="4" t="s">
        <v>569</v>
      </c>
      <c r="E143" s="4" t="s">
        <v>569</v>
      </c>
      <c r="F143" s="4">
        <v>2</v>
      </c>
      <c r="G143" s="4" t="s">
        <v>605</v>
      </c>
      <c r="H143" s="4" t="s">
        <v>279</v>
      </c>
      <c r="I143" s="4" t="b">
        <v>0</v>
      </c>
      <c r="K143" s="4" t="b">
        <f>IF(COUNTIF($B$2:$B143,B143)&gt;1,TRUE,FALSE)</f>
        <v>1</v>
      </c>
      <c r="L143" t="str">
        <f>IF(
K143,"p["""&amp;B143&amp;"""].update({"&amp;""""&amp;C143&amp;""":{"&amp;_xlfn.CONCAT(N143:T143)&amp;"}})","p.update("&amp;M143&amp;")"
)</f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>"{"&amp;""""&amp;B143
&amp;""":{"&amp;""""&amp;C143&amp;""":{"&amp;_xlfn.CONCAT(N143:T143)&amp;"}}}"</f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13"/>
        <v>"type":"yesno",</v>
      </c>
      <c r="O143" t="str">
        <f t="shared" si="14"/>
        <v>"subtype":"yesno",</v>
      </c>
      <c r="P143" t="str">
        <f t="shared" si="15"/>
        <v>"indent":2,</v>
      </c>
      <c r="Q143" t="str">
        <f t="shared" si="19"/>
        <v>"default_value":"yes",</v>
      </c>
      <c r="R143" t="str">
        <f t="shared" si="16"/>
        <v>"docs_url":"https://looker.com/docs/r/lookml/types/measure/suggestable?version=7.14&amp;lookml=new",</v>
      </c>
      <c r="S143" t="str">
        <f t="shared" si="17"/>
        <v>"has_allowed_values":False,</v>
      </c>
      <c r="T143" t="str">
        <f t="shared" si="18"/>
        <v>"allowed_values":""</v>
      </c>
    </row>
    <row r="144" spans="1:20" ht="13" x14ac:dyDescent="0.15">
      <c r="A144" s="7">
        <v>153</v>
      </c>
      <c r="B144" s="6" t="s">
        <v>47</v>
      </c>
      <c r="C144" s="6" t="s">
        <v>61</v>
      </c>
      <c r="D144" s="4" t="s">
        <v>598</v>
      </c>
      <c r="E144" s="4" t="s">
        <v>598</v>
      </c>
      <c r="F144" s="4">
        <v>2</v>
      </c>
      <c r="H144" s="4" t="s">
        <v>280</v>
      </c>
      <c r="I144" s="4" t="b">
        <v>0</v>
      </c>
      <c r="K144" s="4" t="b">
        <f>IF(COUNTIF($B$2:$B144,B144)&gt;1,TRUE,FALSE)</f>
        <v>1</v>
      </c>
      <c r="L144" t="str">
        <f>IF(
K144,"p["""&amp;B144&amp;"""].update({"&amp;""""&amp;C144&amp;""":{"&amp;_xlfn.CONCAT(N144:T144)&amp;"}})","p.update("&amp;M144&amp;")"
)</f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>"{"&amp;""""&amp;B144
&amp;""":{"&amp;""""&amp;C144&amp;""":{"&amp;_xlfn.CONCAT(N144:T144)&amp;"}}}"</f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13"/>
        <v>"type":"list_quoted",</v>
      </c>
      <c r="O144" t="str">
        <f t="shared" si="14"/>
        <v>"subtype":"list_quoted",</v>
      </c>
      <c r="P144" t="str">
        <f t="shared" si="15"/>
        <v>"indent":2,</v>
      </c>
      <c r="Q144" t="str">
        <f t="shared" si="19"/>
        <v>"default_value":"",</v>
      </c>
      <c r="R144" t="str">
        <f t="shared" si="16"/>
        <v>"docs_url":"https://looker.com/docs/r/lookml/types/measure/tags?version=7.14&amp;lookml=new",</v>
      </c>
      <c r="S144" t="str">
        <f t="shared" si="17"/>
        <v>"has_allowed_values":False,</v>
      </c>
      <c r="T144" t="str">
        <f t="shared" si="18"/>
        <v>"allowed_values":""</v>
      </c>
    </row>
    <row r="145" spans="1:20" ht="13" x14ac:dyDescent="0.15">
      <c r="A145" s="7">
        <v>154</v>
      </c>
      <c r="B145" s="6" t="s">
        <v>49</v>
      </c>
      <c r="C145" s="6" t="s">
        <v>61</v>
      </c>
      <c r="D145" s="4" t="s">
        <v>551</v>
      </c>
      <c r="E145" s="4" t="s">
        <v>551</v>
      </c>
      <c r="F145" s="4">
        <v>2</v>
      </c>
      <c r="G145" s="4" t="s">
        <v>572</v>
      </c>
      <c r="H145" s="4" t="s">
        <v>281</v>
      </c>
      <c r="I145" s="4" t="b">
        <v>1</v>
      </c>
      <c r="J145" s="4" t="s">
        <v>571</v>
      </c>
      <c r="K145" s="4" t="b">
        <f>IF(COUNTIF($B$2:$B145,B145)&gt;1,TRUE,FALSE)</f>
        <v>1</v>
      </c>
      <c r="L145" t="str">
        <f>IF(
K145,"p["""&amp;B145&amp;"""].update({"&amp;""""&amp;C145&amp;""":{"&amp;_xlfn.CONCAT(N145:T145)&amp;"}})","p.update("&amp;M145&amp;")"
)</f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>"{"&amp;""""&amp;B145
&amp;""":{"&amp;""""&amp;C145&amp;""":{"&amp;_xlfn.CONCAT(N145:T145)&amp;"}}}"</f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13"/>
        <v>"type":"options",</v>
      </c>
      <c r="O145" t="str">
        <f t="shared" si="14"/>
        <v>"subtype":"options",</v>
      </c>
      <c r="P145" t="str">
        <f t="shared" si="15"/>
        <v>"indent":2,</v>
      </c>
      <c r="Q145" t="str">
        <f t="shared" si="19"/>
        <v>"default_value":"count",</v>
      </c>
      <c r="R145" t="str">
        <f t="shared" si="16"/>
        <v>"docs_url":"https://looker.com/docs/r/lookml/types/measure/type?version=7.14&amp;lookml=new",</v>
      </c>
      <c r="S145" t="str">
        <f t="shared" si="17"/>
        <v>"has_allowed_values":True,</v>
      </c>
      <c r="T145" t="str">
        <f t="shared" si="1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x14ac:dyDescent="0.15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599</v>
      </c>
      <c r="F146" s="4">
        <v>2</v>
      </c>
      <c r="H146" s="4" t="s">
        <v>282</v>
      </c>
      <c r="I146" s="4" t="b">
        <v>0</v>
      </c>
      <c r="K146" s="4" t="b">
        <f>IF(COUNTIF($B$2:$B146,B146)&gt;1,TRUE,FALSE)</f>
        <v>1</v>
      </c>
      <c r="L146" t="str">
        <f>IF(
K146,"p["""&amp;B146&amp;"""].update({"&amp;""""&amp;C146&amp;""":{"&amp;_xlfn.CONCAT(N146:T146)&amp;"}})","p.update("&amp;M146&amp;")"
)</f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>"{"&amp;""""&amp;B146
&amp;""":{"&amp;""""&amp;C146&amp;""":{"&amp;_xlfn.CONCAT(N146:T146)&amp;"}}}"</f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13"/>
        <v>"type":"string_unquoted",</v>
      </c>
      <c r="O146" t="str">
        <f t="shared" si="14"/>
        <v>"subtype":"field-ref",</v>
      </c>
      <c r="P146" t="str">
        <f t="shared" si="15"/>
        <v>"indent":2,</v>
      </c>
      <c r="Q146" t="str">
        <f t="shared" si="19"/>
        <v>"default_value":"",</v>
      </c>
      <c r="R146" t="str">
        <f t="shared" si="16"/>
        <v>"docs_url":"https://looker.com/docs/r/lookml/types/measure/suggest_dimension?version=7.14&amp;lookml=new",</v>
      </c>
      <c r="S146" t="str">
        <f t="shared" si="17"/>
        <v>"has_allowed_values":False,</v>
      </c>
      <c r="T146" t="str">
        <f t="shared" si="18"/>
        <v>"allowed_values":""</v>
      </c>
    </row>
    <row r="147" spans="1:20" ht="13" x14ac:dyDescent="0.15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599</v>
      </c>
      <c r="F147" s="4">
        <v>2</v>
      </c>
      <c r="H147" s="4" t="s">
        <v>283</v>
      </c>
      <c r="I147" s="4" t="b">
        <v>0</v>
      </c>
      <c r="K147" s="4" t="b">
        <f>IF(COUNTIF($B$2:$B147,B147)&gt;1,TRUE,FALSE)</f>
        <v>1</v>
      </c>
      <c r="L147" t="str">
        <f>IF(
K147,"p["""&amp;B147&amp;"""].update({"&amp;""""&amp;C147&amp;""":{"&amp;_xlfn.CONCAT(N147:T147)&amp;"}})","p.update("&amp;M147&amp;")"
)</f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>"{"&amp;""""&amp;B147
&amp;""":{"&amp;""""&amp;C147&amp;""":{"&amp;_xlfn.CONCAT(N147:T147)&amp;"}}}"</f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13"/>
        <v>"type":"string_unquoted",</v>
      </c>
      <c r="O147" t="str">
        <f t="shared" si="14"/>
        <v>"subtype":"explore-ref",</v>
      </c>
      <c r="P147" t="str">
        <f t="shared" si="15"/>
        <v>"indent":2,</v>
      </c>
      <c r="Q147" t="str">
        <f t="shared" si="19"/>
        <v>"default_value":"",</v>
      </c>
      <c r="R147" t="str">
        <f t="shared" si="16"/>
        <v>"docs_url":"https://looker.com/docs/r/lookml/types/measure/suggest_explore?version=7.14&amp;lookml=new",</v>
      </c>
      <c r="S147" t="str">
        <f t="shared" si="17"/>
        <v>"has_allowed_values":False,</v>
      </c>
      <c r="T147" t="str">
        <f t="shared" si="18"/>
        <v>"allowed_values":""</v>
      </c>
    </row>
    <row r="148" spans="1:20" ht="13" x14ac:dyDescent="0.15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592</v>
      </c>
      <c r="H148" s="4" t="s">
        <v>284</v>
      </c>
      <c r="I148" s="4" t="b">
        <v>0</v>
      </c>
      <c r="K148" s="4" t="b">
        <f>IF(COUNTIF($B$2:$B148,B148)&gt;1,TRUE,FALSE)</f>
        <v>1</v>
      </c>
      <c r="L148" t="str">
        <f>IF(
K148,"p["""&amp;B148&amp;"""].update({"&amp;""""&amp;C148&amp;""":{"&amp;_xlfn.CONCAT(N148:T148)&amp;"}})","p.update("&amp;M148&amp;")"
)</f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>"{"&amp;""""&amp;B148
&amp;""":{"&amp;""""&amp;C148&amp;""":{"&amp;_xlfn.CONCAT(N148:T148)&amp;"}}}"</f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13"/>
        <v>"type":"string",</v>
      </c>
      <c r="O148" t="str">
        <f t="shared" si="14"/>
        <v>"subtype":"possibly-localized-string",</v>
      </c>
      <c r="P148" t="str">
        <f t="shared" si="15"/>
        <v>"indent":2,</v>
      </c>
      <c r="Q148" t="str">
        <f t="shared" si="19"/>
        <v>"default_value":"",</v>
      </c>
      <c r="R148" t="str">
        <f t="shared" si="16"/>
        <v>"docs_url":"https://looker.com/docs/r/lookml/types/measure/view_label?version=7.14&amp;lookml=new",</v>
      </c>
      <c r="S148" t="str">
        <f t="shared" si="17"/>
        <v>"has_allowed_values":False,</v>
      </c>
      <c r="T148" t="str">
        <f t="shared" si="18"/>
        <v>"allowed_values":""</v>
      </c>
    </row>
    <row r="149" spans="1:20" ht="13" x14ac:dyDescent="0.15">
      <c r="A149" s="7">
        <v>160</v>
      </c>
      <c r="B149" s="6" t="s">
        <v>3</v>
      </c>
      <c r="C149" s="6" t="s">
        <v>123</v>
      </c>
      <c r="D149" s="4" t="s">
        <v>569</v>
      </c>
      <c r="E149" s="4" t="s">
        <v>569</v>
      </c>
      <c r="F149" s="4">
        <v>2</v>
      </c>
      <c r="G149" s="4" t="s">
        <v>605</v>
      </c>
      <c r="H149" s="4" t="s">
        <v>285</v>
      </c>
      <c r="I149" s="4" t="b">
        <v>0</v>
      </c>
      <c r="K149" s="4" t="b">
        <f>IF(COUNTIF($B$2:$B149,B149)&gt;1,TRUE,FALSE)</f>
        <v>1</v>
      </c>
      <c r="L149" t="str">
        <f>IF(
K149,"p["""&amp;B149&amp;"""].update({"&amp;""""&amp;C149&amp;""":{"&amp;_xlfn.CONCAT(N149:T149)&amp;"}})","p.update("&amp;M149&amp;")"
)</f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>"{"&amp;""""&amp;B149
&amp;""":{"&amp;""""&amp;C149&amp;""":{"&amp;_xlfn.CONCAT(N149:T149)&amp;"}}}"</f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13"/>
        <v>"type":"yesno",</v>
      </c>
      <c r="O149" t="str">
        <f t="shared" si="14"/>
        <v>"subtype":"yesno",</v>
      </c>
      <c r="P149" t="str">
        <f t="shared" si="15"/>
        <v>"indent":2,</v>
      </c>
      <c r="Q149" t="str">
        <f t="shared" si="19"/>
        <v>"default_value":"yes",</v>
      </c>
      <c r="R149" t="str">
        <f t="shared" si="16"/>
        <v>"docs_url":"https://looker.com/docs/r/lookml/types/dimension_group/allow_fill?version=7.14&amp;lookml=new",</v>
      </c>
      <c r="S149" t="str">
        <f t="shared" si="17"/>
        <v>"has_allowed_values":False,</v>
      </c>
      <c r="T149" t="str">
        <f t="shared" si="18"/>
        <v>"allowed_values":""</v>
      </c>
    </row>
    <row r="150" spans="1:20" ht="13" x14ac:dyDescent="0.15">
      <c r="A150" s="7">
        <v>161</v>
      </c>
      <c r="B150" s="6" t="s">
        <v>5</v>
      </c>
      <c r="C150" s="6" t="s">
        <v>123</v>
      </c>
      <c r="D150" s="4" t="s">
        <v>569</v>
      </c>
      <c r="E150" s="4" t="s">
        <v>569</v>
      </c>
      <c r="F150" s="4">
        <v>2</v>
      </c>
      <c r="G150" s="4" t="s">
        <v>604</v>
      </c>
      <c r="H150" s="4" t="s">
        <v>286</v>
      </c>
      <c r="I150" s="4" t="b">
        <v>0</v>
      </c>
      <c r="K150" s="4" t="b">
        <f>IF(COUNTIF($B$2:$B150,B150)&gt;1,TRUE,FALSE)</f>
        <v>1</v>
      </c>
      <c r="L150" t="str">
        <f>IF(
K150,"p["""&amp;B150&amp;"""].update({"&amp;""""&amp;C150&amp;""":{"&amp;_xlfn.CONCAT(N150:T150)&amp;"}})","p.update("&amp;M150&amp;")"
)</f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>"{"&amp;""""&amp;B150
&amp;""":{"&amp;""""&amp;C150&amp;""":{"&amp;_xlfn.CONCAT(N150:T150)&amp;"}}}"</f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13"/>
        <v>"type":"yesno",</v>
      </c>
      <c r="O150" t="str">
        <f t="shared" si="14"/>
        <v>"subtype":"yesno",</v>
      </c>
      <c r="P150" t="str">
        <f t="shared" si="15"/>
        <v>"indent":2,</v>
      </c>
      <c r="Q150" t="str">
        <f t="shared" si="19"/>
        <v>"default_value":"no",</v>
      </c>
      <c r="R150" t="str">
        <f t="shared" si="16"/>
        <v>"docs_url":"https://looker.com/docs/r/lookml/types/dimension_group/bypass_suggest_restrictions?version=7.14&amp;lookml=new",</v>
      </c>
      <c r="S150" t="str">
        <f t="shared" si="17"/>
        <v>"has_allowed_values":False,</v>
      </c>
      <c r="T150" t="str">
        <f t="shared" si="18"/>
        <v>"allowed_values":""</v>
      </c>
    </row>
    <row r="151" spans="1:20" ht="13" x14ac:dyDescent="0.15">
      <c r="A151" s="7">
        <v>162</v>
      </c>
      <c r="B151" s="6" t="s">
        <v>6</v>
      </c>
      <c r="C151" s="6" t="s">
        <v>123</v>
      </c>
      <c r="D151" s="4" t="s">
        <v>569</v>
      </c>
      <c r="E151" s="4" t="s">
        <v>569</v>
      </c>
      <c r="F151" s="4">
        <v>2</v>
      </c>
      <c r="G151" s="4" t="s">
        <v>605</v>
      </c>
      <c r="H151" s="4" t="s">
        <v>287</v>
      </c>
      <c r="I151" s="4" t="b">
        <v>0</v>
      </c>
      <c r="K151" s="4" t="b">
        <f>IF(COUNTIF($B$2:$B151,B151)&gt;1,TRUE,FALSE)</f>
        <v>1</v>
      </c>
      <c r="L151" t="str">
        <f>IF(
K151,"p["""&amp;B151&amp;"""].update({"&amp;""""&amp;C151&amp;""":{"&amp;_xlfn.CONCAT(N151:T151)&amp;"}})","p.update("&amp;M151&amp;")"
)</f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>"{"&amp;""""&amp;B151
&amp;""":{"&amp;""""&amp;C151&amp;""":{"&amp;_xlfn.CONCAT(N151:T151)&amp;"}}}"</f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13"/>
        <v>"type":"yesno",</v>
      </c>
      <c r="O151" t="str">
        <f t="shared" si="14"/>
        <v>"subtype":"yesno",</v>
      </c>
      <c r="P151" t="str">
        <f t="shared" si="15"/>
        <v>"indent":2,</v>
      </c>
      <c r="Q151" t="str">
        <f t="shared" si="19"/>
        <v>"default_value":"yes",</v>
      </c>
      <c r="R151" t="str">
        <f t="shared" si="16"/>
        <v>"docs_url":"https://looker.com/docs/r/lookml/types/dimension_group/can_filter?version=7.14&amp;lookml=new",</v>
      </c>
      <c r="S151" t="str">
        <f t="shared" si="17"/>
        <v>"has_allowed_values":False,</v>
      </c>
      <c r="T151" t="str">
        <f t="shared" si="18"/>
        <v>"allowed_values":""</v>
      </c>
    </row>
    <row r="152" spans="1:20" ht="13" x14ac:dyDescent="0.15">
      <c r="A152" s="7">
        <v>163</v>
      </c>
      <c r="B152" s="6" t="s">
        <v>10</v>
      </c>
      <c r="C152" s="6" t="s">
        <v>123</v>
      </c>
      <c r="D152" s="4" t="s">
        <v>551</v>
      </c>
      <c r="E152" s="4" t="s">
        <v>551</v>
      </c>
      <c r="F152" s="4">
        <v>2</v>
      </c>
      <c r="G152" s="4" t="s">
        <v>575</v>
      </c>
      <c r="H152" s="10" t="s">
        <v>288</v>
      </c>
      <c r="I152" s="4" t="b">
        <v>1</v>
      </c>
      <c r="J152" s="4" t="s">
        <v>576</v>
      </c>
      <c r="K152" s="4" t="b">
        <f>IF(COUNTIF($B$2:$B152,B152)&gt;1,TRUE,FALSE)</f>
        <v>1</v>
      </c>
      <c r="L152" t="str">
        <f>IF(
K152,"p["""&amp;B152&amp;"""].update({"&amp;""""&amp;C152&amp;""":{"&amp;_xlfn.CONCAT(N152:T152)&amp;"}})","p.update("&amp;M152&amp;")"
)</f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>"{"&amp;""""&amp;B152
&amp;""":{"&amp;""""&amp;C152&amp;""":{"&amp;_xlfn.CONCAT(N152:T152)&amp;"}}}"</f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13"/>
        <v>"type":"options",</v>
      </c>
      <c r="O152" t="str">
        <f t="shared" si="14"/>
        <v>"subtype":"options",</v>
      </c>
      <c r="P152" t="str">
        <f t="shared" si="15"/>
        <v>"indent":2,</v>
      </c>
      <c r="Q152" t="str">
        <f t="shared" si="19"/>
        <v>"default_value":"timestamp",</v>
      </c>
      <c r="R152" t="str">
        <f t="shared" si="16"/>
        <v>"docs_url":"https://looker.com/docs/r/lookml/types/dimension_group/datatype?version=7.14&amp;lookml=new",</v>
      </c>
      <c r="S152" t="str">
        <f t="shared" si="17"/>
        <v>"has_allowed_values":True,</v>
      </c>
      <c r="T152" t="str">
        <f t="shared" si="18"/>
        <v>"allowed_values":["timestamp","epoch","date","datetime","timestamp", "yyyymmdd"]</v>
      </c>
    </row>
    <row r="153" spans="1:20" ht="13" x14ac:dyDescent="0.15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596</v>
      </c>
      <c r="F153" s="4">
        <v>2</v>
      </c>
      <c r="H153" s="4" t="s">
        <v>289</v>
      </c>
      <c r="I153" s="4" t="b">
        <v>0</v>
      </c>
      <c r="K153" s="4" t="b">
        <f>IF(COUNTIF($B$2:$B153,B153)&gt;1,TRUE,FALSE)</f>
        <v>1</v>
      </c>
      <c r="L153" t="str">
        <f>IF(
K153,"p["""&amp;B153&amp;"""].update({"&amp;""""&amp;C153&amp;""":{"&amp;_xlfn.CONCAT(N153:T153)&amp;"}})","p.update("&amp;M153&amp;")"
)</f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>"{"&amp;""""&amp;B153
&amp;""":{"&amp;""""&amp;C153&amp;""":{"&amp;_xlfn.CONCAT(N153:T153)&amp;"}}}"</f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13"/>
        <v>"type":"list_unquoted",</v>
      </c>
      <c r="O153" t="str">
        <f t="shared" si="14"/>
        <v>"subtype":"field-ref",</v>
      </c>
      <c r="P153" t="str">
        <f t="shared" si="15"/>
        <v>"indent":2,</v>
      </c>
      <c r="Q153" t="str">
        <f t="shared" si="19"/>
        <v>"default_value":"",</v>
      </c>
      <c r="R153" t="str">
        <f t="shared" si="16"/>
        <v>"docs_url":"https://looker.com/docs/r/lookml/types/dimension_group/drill_fields?version=7.14&amp;lookml=new",</v>
      </c>
      <c r="S153" t="str">
        <f t="shared" si="17"/>
        <v>"has_allowed_values":False,</v>
      </c>
      <c r="T153" t="str">
        <f t="shared" si="18"/>
        <v>"allowed_values":""</v>
      </c>
    </row>
    <row r="154" spans="1:20" ht="13" x14ac:dyDescent="0.15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592</v>
      </c>
      <c r="H154" s="4" t="s">
        <v>290</v>
      </c>
      <c r="I154" s="4" t="b">
        <v>0</v>
      </c>
      <c r="K154" s="4" t="b">
        <f>IF(COUNTIF($B$2:$B154,B154)&gt;1,TRUE,FALSE)</f>
        <v>1</v>
      </c>
      <c r="L154" t="str">
        <f>IF(
K154,"p["""&amp;B154&amp;"""].update({"&amp;""""&amp;C154&amp;""":{"&amp;_xlfn.CONCAT(N154:T154)&amp;"}})","p.update("&amp;M154&amp;")"
)</f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>"{"&amp;""""&amp;B154
&amp;""":{"&amp;""""&amp;C154&amp;""":{"&amp;_xlfn.CONCAT(N154:T154)&amp;"}}}"</f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13"/>
        <v>"type":"string",</v>
      </c>
      <c r="O154" t="str">
        <f t="shared" si="14"/>
        <v>"subtype":"string",</v>
      </c>
      <c r="P154" t="str">
        <f t="shared" si="15"/>
        <v>"indent":2,</v>
      </c>
      <c r="Q154" t="str">
        <f t="shared" si="19"/>
        <v>"default_value":"",</v>
      </c>
      <c r="R154" t="str">
        <f t="shared" si="16"/>
        <v>"docs_url":"https://looker.com/docs/r/lookml/types/dimension_group/fanout_on?version=7.14&amp;lookml=new",</v>
      </c>
      <c r="S154" t="str">
        <f t="shared" si="17"/>
        <v>"has_allowed_values":False,</v>
      </c>
      <c r="T154" t="str">
        <f t="shared" si="18"/>
        <v>"allowed_values":""</v>
      </c>
    </row>
    <row r="155" spans="1:20" ht="13" x14ac:dyDescent="0.15">
      <c r="A155" s="7">
        <v>166</v>
      </c>
      <c r="B155" s="6" t="s">
        <v>18</v>
      </c>
      <c r="C155" s="6" t="s">
        <v>123</v>
      </c>
      <c r="D155" s="4" t="s">
        <v>569</v>
      </c>
      <c r="E155" s="4" t="s">
        <v>569</v>
      </c>
      <c r="F155" s="4">
        <v>2</v>
      </c>
      <c r="G155" s="4" t="s">
        <v>605</v>
      </c>
      <c r="H155" s="4" t="s">
        <v>291</v>
      </c>
      <c r="I155" s="4" t="b">
        <v>0</v>
      </c>
      <c r="K155" s="4" t="b">
        <f>IF(COUNTIF($B$2:$B155,B155)&gt;1,TRUE,FALSE)</f>
        <v>1</v>
      </c>
      <c r="L155" t="str">
        <f>IF(
K155,"p["""&amp;B155&amp;"""].update({"&amp;""""&amp;C155&amp;""":{"&amp;_xlfn.CONCAT(N155:T155)&amp;"}})","p.update("&amp;M155&amp;")"
)</f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>"{"&amp;""""&amp;B155
&amp;""":{"&amp;""""&amp;C155&amp;""":{"&amp;_xlfn.CONCAT(N155:T155)&amp;"}}}"</f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13"/>
        <v>"type":"yesno",</v>
      </c>
      <c r="O155" t="str">
        <f t="shared" si="14"/>
        <v>"subtype":"yesno",</v>
      </c>
      <c r="P155" t="str">
        <f t="shared" si="15"/>
        <v>"indent":2,</v>
      </c>
      <c r="Q155" t="str">
        <f t="shared" si="19"/>
        <v>"default_value":"yes",</v>
      </c>
      <c r="R155" t="str">
        <f t="shared" si="16"/>
        <v>"docs_url":"https://looker.com/docs/r/lookml/types/dimension_group/full_suggestions?version=7.14&amp;lookml=new",</v>
      </c>
      <c r="S155" t="str">
        <f t="shared" si="17"/>
        <v>"has_allowed_values":False,</v>
      </c>
      <c r="T155" t="str">
        <f t="shared" si="18"/>
        <v>"allowed_values":""</v>
      </c>
    </row>
    <row r="156" spans="1:20" ht="13" x14ac:dyDescent="0.15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592</v>
      </c>
      <c r="H156" s="4" t="s">
        <v>292</v>
      </c>
      <c r="I156" s="4" t="b">
        <v>0</v>
      </c>
      <c r="K156" s="4" t="b">
        <f>IF(COUNTIF($B$2:$B156,B156)&gt;1,TRUE,FALSE)</f>
        <v>1</v>
      </c>
      <c r="L156" t="str">
        <f>IF(
K156,"p["""&amp;B156&amp;"""].update({"&amp;""""&amp;C156&amp;""":{"&amp;_xlfn.CONCAT(N156:T156)&amp;"}})","p.update("&amp;M156&amp;")"
)</f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>"{"&amp;""""&amp;B156
&amp;""":{"&amp;""""&amp;C156&amp;""":{"&amp;_xlfn.CONCAT(N156:T156)&amp;"}}}"</f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13"/>
        <v>"type":"string",</v>
      </c>
      <c r="O156" t="str">
        <f t="shared" si="14"/>
        <v>"subtype":"possibly-localized-string",</v>
      </c>
      <c r="P156" t="str">
        <f t="shared" si="15"/>
        <v>"indent":2,</v>
      </c>
      <c r="Q156" t="str">
        <f t="shared" si="19"/>
        <v>"default_value":"",</v>
      </c>
      <c r="R156" t="str">
        <f t="shared" si="16"/>
        <v>"docs_url":"https://looker.com/docs/r/lookml/types/dimension_group/group_label?version=7.14&amp;lookml=new",</v>
      </c>
      <c r="S156" t="str">
        <f t="shared" si="17"/>
        <v>"has_allowed_values":False,</v>
      </c>
      <c r="T156" t="str">
        <f t="shared" si="18"/>
        <v>"allowed_values":""</v>
      </c>
    </row>
    <row r="157" spans="1:20" ht="13" x14ac:dyDescent="0.15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592</v>
      </c>
      <c r="H157" s="4" t="s">
        <v>293</v>
      </c>
      <c r="I157" s="4" t="b">
        <v>0</v>
      </c>
      <c r="K157" s="4" t="b">
        <f>IF(COUNTIF($B$2:$B157,B157)&gt;1,TRUE,FALSE)</f>
        <v>1</v>
      </c>
      <c r="L157" t="str">
        <f>IF(
K157,"p["""&amp;B157&amp;"""].update({"&amp;""""&amp;C157&amp;""":{"&amp;_xlfn.CONCAT(N157:T157)&amp;"}})","p.update("&amp;M157&amp;")"
)</f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>"{"&amp;""""&amp;B157
&amp;""":{"&amp;""""&amp;C157&amp;""":{"&amp;_xlfn.CONCAT(N157:T157)&amp;"}}}"</f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13"/>
        <v>"type":"string",</v>
      </c>
      <c r="O157" t="str">
        <f t="shared" si="14"/>
        <v>"subtype":"possibly-localized-string",</v>
      </c>
      <c r="P157" t="str">
        <f t="shared" si="15"/>
        <v>"indent":2,</v>
      </c>
      <c r="Q157" t="str">
        <f t="shared" si="19"/>
        <v>"default_value":"",</v>
      </c>
      <c r="R157" t="str">
        <f t="shared" si="16"/>
        <v>"docs_url":"https://looker.com/docs/r/lookml/types/dimension_group/group_item_label?version=7.14&amp;lookml=new",</v>
      </c>
      <c r="S157" t="str">
        <f t="shared" si="17"/>
        <v>"has_allowed_values":False,</v>
      </c>
      <c r="T157" t="str">
        <f t="shared" si="18"/>
        <v>"allowed_values":""</v>
      </c>
    </row>
    <row r="158" spans="1:20" ht="13" x14ac:dyDescent="0.15">
      <c r="A158" s="7">
        <v>169</v>
      </c>
      <c r="B158" s="6" t="s">
        <v>22</v>
      </c>
      <c r="C158" s="6" t="s">
        <v>123</v>
      </c>
      <c r="D158" s="4" t="s">
        <v>614</v>
      </c>
      <c r="E158" s="4" t="s">
        <v>22</v>
      </c>
      <c r="F158" s="4">
        <v>2</v>
      </c>
      <c r="G158" s="4" t="s">
        <v>592</v>
      </c>
      <c r="H158" s="4" t="s">
        <v>294</v>
      </c>
      <c r="I158" s="4" t="b">
        <v>0</v>
      </c>
      <c r="K158" s="4" t="b">
        <f>IF(COUNTIF($B$2:$B158,B158)&gt;1,TRUE,FALSE)</f>
        <v>1</v>
      </c>
      <c r="L158" t="str">
        <f>IF(
K158,"p["""&amp;B158&amp;"""].update({"&amp;""""&amp;C158&amp;""":{"&amp;_xlfn.CONCAT(N158:T158)&amp;"}})","p.update("&amp;M158&amp;")"
)</f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>"{"&amp;""""&amp;B158
&amp;""":{"&amp;""""&amp;C158&amp;""":{"&amp;_xlfn.CONCAT(N158:T158)&amp;"}}}"</f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13"/>
        <v>"type":"html",</v>
      </c>
      <c r="O158" t="str">
        <f t="shared" si="14"/>
        <v>"subtype":"html-block ",</v>
      </c>
      <c r="P158" t="str">
        <f t="shared" si="15"/>
        <v>"indent":2,</v>
      </c>
      <c r="Q158" t="str">
        <f t="shared" si="19"/>
        <v>"default_value":"",</v>
      </c>
      <c r="R158" t="str">
        <f t="shared" si="16"/>
        <v>"docs_url":"https://looker.com/docs/r/lookml/types/dimension_group/html?version=7.14&amp;lookml=new",</v>
      </c>
      <c r="S158" t="str">
        <f t="shared" si="17"/>
        <v>"has_allowed_values":False,</v>
      </c>
      <c r="T158" t="str">
        <f t="shared" si="18"/>
        <v>"allowed_values":""</v>
      </c>
    </row>
    <row r="159" spans="1:20" ht="13" x14ac:dyDescent="0.15">
      <c r="A159" s="7">
        <v>170</v>
      </c>
      <c r="B159" s="6" t="s">
        <v>484</v>
      </c>
      <c r="C159" s="6" t="s">
        <v>123</v>
      </c>
      <c r="D159" s="4" t="s">
        <v>596</v>
      </c>
      <c r="E159" s="4" t="s">
        <v>596</v>
      </c>
      <c r="F159" s="4">
        <v>2</v>
      </c>
      <c r="G159" s="4" t="s">
        <v>587</v>
      </c>
      <c r="H159" s="10" t="s">
        <v>295</v>
      </c>
      <c r="I159" s="4" t="b">
        <v>1</v>
      </c>
      <c r="J159" s="4" t="s">
        <v>586</v>
      </c>
      <c r="K159" s="4" t="b">
        <f>IF(COUNTIF($B$2:$B159,B159)&gt;1,TRUE,FALSE)</f>
        <v>0</v>
      </c>
      <c r="L159" t="str">
        <f>IF(
K159,"p["""&amp;B159&amp;"""].update({"&amp;""""&amp;C159&amp;""":{"&amp;_xlfn.CONCAT(N159:T159)&amp;"}})","p.update("&amp;M159&amp;")"
)</f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>"{"&amp;""""&amp;B159
&amp;""":{"&amp;""""&amp;C159&amp;""":{"&amp;_xlfn.CONCAT(N159:T159)&amp;"}}}"</f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13"/>
        <v>"type":"list_unquoted",</v>
      </c>
      <c r="O159" t="str">
        <f t="shared" si="14"/>
        <v>"subtype":"list_unquoted",</v>
      </c>
      <c r="P159" t="str">
        <f t="shared" si="15"/>
        <v>"indent":2,</v>
      </c>
      <c r="Q159" t="str">
        <f t="shared" si="19"/>
        <v>"default_value":"day",</v>
      </c>
      <c r="R159" t="str">
        <f t="shared" si="16"/>
        <v>"docs_url":"https://looker.com/docs/r/lookml/types/dimension_group/intervals?version=7.14&amp;lookml=new",</v>
      </c>
      <c r="S159" t="str">
        <f t="shared" si="17"/>
        <v>"has_allowed_values":True,</v>
      </c>
      <c r="T159" t="str">
        <f t="shared" si="18"/>
        <v>"allowed_values":["day","hour","minute","month","quarter","second","week","year",]</v>
      </c>
    </row>
    <row r="160" spans="1:20" ht="13" x14ac:dyDescent="0.15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599</v>
      </c>
      <c r="F160" s="4">
        <v>2</v>
      </c>
      <c r="H160" s="4" t="s">
        <v>296</v>
      </c>
      <c r="I160" s="4" t="b">
        <v>0</v>
      </c>
      <c r="K160" s="4" t="b">
        <f>IF(COUNTIF($B$2:$B160,B160)&gt;1,TRUE,FALSE)</f>
        <v>1</v>
      </c>
      <c r="L160" t="str">
        <f>IF(
K160,"p["""&amp;B160&amp;"""].update({"&amp;""""&amp;C160&amp;""":{"&amp;_xlfn.CONCAT(N160:T160)&amp;"}})","p.update("&amp;M160&amp;")"
)</f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>"{"&amp;""""&amp;B160
&amp;""":{"&amp;""""&amp;C160&amp;""":{"&amp;_xlfn.CONCAT(N160:T160)&amp;"}}}"</f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13"/>
        <v>"type":"string_unquoted",</v>
      </c>
      <c r="O160" t="str">
        <f t="shared" si="14"/>
        <v>"subtype":"field-ref",</v>
      </c>
      <c r="P160" t="str">
        <f t="shared" si="15"/>
        <v>"indent":2,</v>
      </c>
      <c r="Q160" t="str">
        <f t="shared" si="19"/>
        <v>"default_value":"",</v>
      </c>
      <c r="R160" t="str">
        <f t="shared" si="16"/>
        <v>"docs_url":"https://looker.com/docs/r/lookml/types/dimension_group/order_by_field?version=7.14&amp;lookml=new",</v>
      </c>
      <c r="S160" t="str">
        <f t="shared" si="17"/>
        <v>"has_allowed_values":False,</v>
      </c>
      <c r="T160" t="str">
        <f t="shared" si="18"/>
        <v>"allowed_values":""</v>
      </c>
    </row>
    <row r="161" spans="1:20" ht="13" x14ac:dyDescent="0.15">
      <c r="A161" s="7">
        <v>172</v>
      </c>
      <c r="B161" s="6" t="s">
        <v>33</v>
      </c>
      <c r="C161" s="6" t="s">
        <v>123</v>
      </c>
      <c r="D161" s="4" t="s">
        <v>569</v>
      </c>
      <c r="E161" s="4" t="s">
        <v>569</v>
      </c>
      <c r="F161" s="4">
        <v>2</v>
      </c>
      <c r="G161" s="4" t="s">
        <v>604</v>
      </c>
      <c r="H161" s="4" t="s">
        <v>297</v>
      </c>
      <c r="I161" s="4" t="b">
        <v>0</v>
      </c>
      <c r="K161" s="4" t="b">
        <f>IF(COUNTIF($B$2:$B161,B161)&gt;1,TRUE,FALSE)</f>
        <v>1</v>
      </c>
      <c r="L161" t="str">
        <f>IF(
K161,"p["""&amp;B161&amp;"""].update({"&amp;""""&amp;C161&amp;""":{"&amp;_xlfn.CONCAT(N161:T161)&amp;"}})","p.update("&amp;M161&amp;")"
)</f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>"{"&amp;""""&amp;B161
&amp;""":{"&amp;""""&amp;C161&amp;""":{"&amp;_xlfn.CONCAT(N161:T161)&amp;"}}}"</f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13"/>
        <v>"type":"yesno",</v>
      </c>
      <c r="O161" t="str">
        <f t="shared" si="14"/>
        <v>"subtype":"yesno",</v>
      </c>
      <c r="P161" t="str">
        <f t="shared" si="15"/>
        <v>"indent":2,</v>
      </c>
      <c r="Q161" t="str">
        <f t="shared" si="19"/>
        <v>"default_value":"no",</v>
      </c>
      <c r="R161" t="str">
        <f t="shared" si="16"/>
        <v>"docs_url":"https://looker.com/docs/r/lookml/types/dimension_group/skip_drill_filter?version=7.14&amp;lookml=new",</v>
      </c>
      <c r="S161" t="str">
        <f t="shared" si="17"/>
        <v>"has_allowed_values":False,</v>
      </c>
      <c r="T161" t="str">
        <f t="shared" si="18"/>
        <v>"allowed_values":""</v>
      </c>
    </row>
    <row r="162" spans="1:20" ht="13" x14ac:dyDescent="0.15">
      <c r="A162" s="7">
        <v>173</v>
      </c>
      <c r="B162" s="6" t="s">
        <v>34</v>
      </c>
      <c r="C162" s="6" t="s">
        <v>123</v>
      </c>
      <c r="D162" s="4" t="s">
        <v>613</v>
      </c>
      <c r="E162" s="4" t="s">
        <v>34</v>
      </c>
      <c r="F162" s="4">
        <v>2</v>
      </c>
      <c r="G162" s="4" t="s">
        <v>592</v>
      </c>
      <c r="H162" s="4" t="s">
        <v>298</v>
      </c>
      <c r="I162" s="4" t="b">
        <v>0</v>
      </c>
      <c r="K162" s="4" t="b">
        <f>IF(COUNTIF($B$2:$B162,B162)&gt;1,TRUE,FALSE)</f>
        <v>1</v>
      </c>
      <c r="L162" t="str">
        <f>IF(
K162,"p["""&amp;B162&amp;"""].update({"&amp;""""&amp;C162&amp;""":{"&amp;_xlfn.CONCAT(N162:T162)&amp;"}})","p.update("&amp;M162&amp;")"
)</f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>"{"&amp;""""&amp;B162
&amp;""":{"&amp;""""&amp;C162&amp;""":{"&amp;_xlfn.CONCAT(N162:T162)&amp;"}}}"</f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13"/>
        <v>"type":"sql",</v>
      </c>
      <c r="O162" t="str">
        <f t="shared" si="14"/>
        <v>"subtype":"sql-block ",</v>
      </c>
      <c r="P162" t="str">
        <f t="shared" si="15"/>
        <v>"indent":2,</v>
      </c>
      <c r="Q162" t="str">
        <f t="shared" si="19"/>
        <v>"default_value":"",</v>
      </c>
      <c r="R162" t="str">
        <f t="shared" si="16"/>
        <v>"docs_url":"https://looker.com/docs/r/lookml/types/dimension_group/sql?version=7.14&amp;lookml=new",</v>
      </c>
      <c r="S162" t="str">
        <f t="shared" si="17"/>
        <v>"has_allowed_values":False,</v>
      </c>
      <c r="T162" t="str">
        <f t="shared" si="18"/>
        <v>"allowed_values":""</v>
      </c>
    </row>
    <row r="163" spans="1:20" ht="13" x14ac:dyDescent="0.15">
      <c r="A163" s="7">
        <v>174</v>
      </c>
      <c r="B163" s="6" t="s">
        <v>35</v>
      </c>
      <c r="C163" s="6" t="s">
        <v>123</v>
      </c>
      <c r="D163" s="4" t="s">
        <v>613</v>
      </c>
      <c r="E163" s="4" t="s">
        <v>34</v>
      </c>
      <c r="F163" s="4">
        <v>2</v>
      </c>
      <c r="G163" s="4" t="s">
        <v>592</v>
      </c>
      <c r="H163" s="4" t="s">
        <v>299</v>
      </c>
      <c r="I163" s="4" t="b">
        <v>0</v>
      </c>
      <c r="K163" s="4" t="b">
        <f>IF(COUNTIF($B$2:$B163,B163)&gt;1,TRUE,FALSE)</f>
        <v>1</v>
      </c>
      <c r="L163" t="str">
        <f>IF(
K163,"p["""&amp;B163&amp;"""].update({"&amp;""""&amp;C163&amp;""":{"&amp;_xlfn.CONCAT(N163:T163)&amp;"}})","p.update("&amp;M163&amp;")"
)</f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>"{"&amp;""""&amp;B163
&amp;""":{"&amp;""""&amp;C163&amp;""":{"&amp;_xlfn.CONCAT(N163:T163)&amp;"}}}"</f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13"/>
        <v>"type":"sql",</v>
      </c>
      <c r="O163" t="str">
        <f t="shared" si="14"/>
        <v>"subtype":"sql-block ",</v>
      </c>
      <c r="P163" t="str">
        <f t="shared" si="15"/>
        <v>"indent":2,</v>
      </c>
      <c r="Q163" t="str">
        <f t="shared" si="19"/>
        <v>"default_value":"",</v>
      </c>
      <c r="R163" t="str">
        <f t="shared" si="16"/>
        <v>"docs_url":"https://looker.com/docs/r/lookml/types/dimension_group/sql_end?version=7.14&amp;lookml=new",</v>
      </c>
      <c r="S163" t="str">
        <f t="shared" si="17"/>
        <v>"has_allowed_values":False,</v>
      </c>
      <c r="T163" t="str">
        <f t="shared" si="18"/>
        <v>"allowed_values":""</v>
      </c>
    </row>
    <row r="164" spans="1:20" ht="13" x14ac:dyDescent="0.15">
      <c r="A164" s="7">
        <v>175</v>
      </c>
      <c r="B164" s="6" t="s">
        <v>38</v>
      </c>
      <c r="C164" s="6" t="s">
        <v>123</v>
      </c>
      <c r="D164" s="4" t="s">
        <v>613</v>
      </c>
      <c r="E164" s="4" t="s">
        <v>34</v>
      </c>
      <c r="F164" s="4">
        <v>2</v>
      </c>
      <c r="G164" s="4" t="s">
        <v>592</v>
      </c>
      <c r="H164" s="4" t="s">
        <v>300</v>
      </c>
      <c r="I164" s="4" t="b">
        <v>0</v>
      </c>
      <c r="K164" s="4" t="b">
        <f>IF(COUNTIF($B$2:$B164,B164)&gt;1,TRUE,FALSE)</f>
        <v>1</v>
      </c>
      <c r="L164" t="str">
        <f>IF(
K164,"p["""&amp;B164&amp;"""].update({"&amp;""""&amp;C164&amp;""":{"&amp;_xlfn.CONCAT(N164:T164)&amp;"}})","p.update("&amp;M164&amp;")"
)</f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>"{"&amp;""""&amp;B164
&amp;""":{"&amp;""""&amp;C164&amp;""":{"&amp;_xlfn.CONCAT(N164:T164)&amp;"}}}"</f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13"/>
        <v>"type":"sql",</v>
      </c>
      <c r="O164" t="str">
        <f t="shared" si="14"/>
        <v>"subtype":"sql-block ",</v>
      </c>
      <c r="P164" t="str">
        <f t="shared" si="15"/>
        <v>"indent":2,</v>
      </c>
      <c r="Q164" t="str">
        <f t="shared" si="19"/>
        <v>"default_value":"",</v>
      </c>
      <c r="R164" t="str">
        <f t="shared" si="16"/>
        <v>"docs_url":"https://looker.com/docs/r/lookml/types/dimension_group/sql_start?version=7.14&amp;lookml=new",</v>
      </c>
      <c r="S164" t="str">
        <f t="shared" si="17"/>
        <v>"has_allowed_values":False,</v>
      </c>
      <c r="T164" t="str">
        <f t="shared" si="18"/>
        <v>"allowed_values":""</v>
      </c>
    </row>
    <row r="165" spans="1:20" ht="13" x14ac:dyDescent="0.15">
      <c r="A165" s="7">
        <v>176</v>
      </c>
      <c r="B165" s="6" t="s">
        <v>485</v>
      </c>
      <c r="C165" s="6" t="s">
        <v>123</v>
      </c>
      <c r="D165" s="4" t="s">
        <v>596</v>
      </c>
      <c r="E165" s="4" t="s">
        <v>596</v>
      </c>
      <c r="F165" s="4">
        <v>2</v>
      </c>
      <c r="G165" s="4" t="s">
        <v>589</v>
      </c>
      <c r="H165" s="4" t="s">
        <v>301</v>
      </c>
      <c r="I165" s="4" t="b">
        <v>1</v>
      </c>
      <c r="J165" s="4" t="s">
        <v>588</v>
      </c>
      <c r="K165" s="4" t="b">
        <f>IF(COUNTIF($B$2:$B165,B165)&gt;1,TRUE,FALSE)</f>
        <v>0</v>
      </c>
      <c r="L165" t="str">
        <f>IF(
K165,"p["""&amp;B165&amp;"""].update({"&amp;""""&amp;C165&amp;""":{"&amp;_xlfn.CONCAT(N165:T165)&amp;"}})","p.update("&amp;M165&amp;")"
)</f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>"{"&amp;""""&amp;B165
&amp;""":{"&amp;""""&amp;C165&amp;""":{"&amp;_xlfn.CONCAT(N165:T165)&amp;"}}}"</f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13"/>
        <v>"type":"list_unquoted",</v>
      </c>
      <c r="O165" t="str">
        <f t="shared" si="14"/>
        <v>"subtype":"list_unquoted",</v>
      </c>
      <c r="P165" t="str">
        <f t="shared" si="15"/>
        <v>"indent":2,</v>
      </c>
      <c r="Q165" t="str">
        <f t="shared" si="19"/>
        <v>"default_value":["date","month","raw"],</v>
      </c>
      <c r="R165" t="str">
        <f t="shared" si="16"/>
        <v>"docs_url":"https://looker.com/docs/r/lookml/types/dimension_group/timeframes?version=7.14&amp;lookml=new",</v>
      </c>
      <c r="S165" t="str">
        <f t="shared" si="17"/>
        <v>"has_allowed_values":True,</v>
      </c>
      <c r="T165" t="str">
        <f t="shared" si="1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x14ac:dyDescent="0.15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596</v>
      </c>
      <c r="F166" s="4">
        <v>2</v>
      </c>
      <c r="H166" s="4" t="s">
        <v>302</v>
      </c>
      <c r="I166" s="4" t="b">
        <v>0</v>
      </c>
      <c r="K166" s="4" t="b">
        <f>IF(COUNTIF($B$2:$B166,B166)&gt;1,TRUE,FALSE)</f>
        <v>1</v>
      </c>
      <c r="L166" t="str">
        <f>IF(
K166,"p["""&amp;B166&amp;"""].update({"&amp;""""&amp;C166&amp;""":{"&amp;_xlfn.CONCAT(N166:T166)&amp;"}})","p.update("&amp;M166&amp;")"
)</f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>"{"&amp;""""&amp;B166
&amp;""":{"&amp;""""&amp;C166&amp;""":{"&amp;_xlfn.CONCAT(N166:T166)&amp;"}}}"</f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13"/>
        <v>"type":"list_unquoted",</v>
      </c>
      <c r="O166" t="str">
        <f t="shared" si="14"/>
        <v>"subtype":"identifier",</v>
      </c>
      <c r="P166" t="str">
        <f t="shared" si="15"/>
        <v>"indent":2,</v>
      </c>
      <c r="Q166" t="str">
        <f t="shared" si="19"/>
        <v>"default_value":"",</v>
      </c>
      <c r="R166" t="str">
        <f t="shared" si="16"/>
        <v>"docs_url":"https://looker.com/docs/r/lookml/types/dimension_group/alias?version=7.14&amp;lookml=new",</v>
      </c>
      <c r="S166" t="str">
        <f t="shared" si="17"/>
        <v>"has_allowed_values":False,</v>
      </c>
      <c r="T166" t="str">
        <f t="shared" si="18"/>
        <v>"allowed_values":""</v>
      </c>
    </row>
    <row r="167" spans="1:20" ht="13" x14ac:dyDescent="0.15">
      <c r="A167" s="7">
        <v>178</v>
      </c>
      <c r="B167" s="6" t="s">
        <v>9</v>
      </c>
      <c r="C167" s="6" t="s">
        <v>123</v>
      </c>
      <c r="D167" s="4" t="s">
        <v>569</v>
      </c>
      <c r="E167" s="4" t="s">
        <v>569</v>
      </c>
      <c r="F167" s="4">
        <v>2</v>
      </c>
      <c r="G167" s="4" t="s">
        <v>605</v>
      </c>
      <c r="H167" s="4" t="s">
        <v>303</v>
      </c>
      <c r="I167" s="4" t="b">
        <v>0</v>
      </c>
      <c r="K167" s="4" t="b">
        <f>IF(COUNTIF($B$2:$B167,B167)&gt;1,TRUE,FALSE)</f>
        <v>1</v>
      </c>
      <c r="L167" t="str">
        <f>IF(
K167,"p["""&amp;B167&amp;"""].update({"&amp;""""&amp;C167&amp;""":{"&amp;_xlfn.CONCAT(N167:T167)&amp;"}})","p.update("&amp;M167&amp;")"
)</f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>"{"&amp;""""&amp;B167
&amp;""":{"&amp;""""&amp;C167&amp;""":{"&amp;_xlfn.CONCAT(N167:T167)&amp;"}}}"</f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13"/>
        <v>"type":"yesno",</v>
      </c>
      <c r="O167" t="str">
        <f t="shared" si="14"/>
        <v>"subtype":"yesno",</v>
      </c>
      <c r="P167" t="str">
        <f t="shared" si="15"/>
        <v>"indent":2,</v>
      </c>
      <c r="Q167" t="str">
        <f t="shared" si="19"/>
        <v>"default_value":"yes",</v>
      </c>
      <c r="R167" t="str">
        <f t="shared" si="16"/>
        <v>"docs_url":"https://looker.com/docs/r/lookml/types/dimension_group/convert_tz?version=7.14&amp;lookml=new",</v>
      </c>
      <c r="S167" t="str">
        <f t="shared" si="17"/>
        <v>"has_allowed_values":False,</v>
      </c>
      <c r="T167" t="str">
        <f t="shared" si="18"/>
        <v>"allowed_values":""</v>
      </c>
    </row>
    <row r="168" spans="1:20" ht="13" x14ac:dyDescent="0.15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592</v>
      </c>
      <c r="H168" s="4" t="s">
        <v>304</v>
      </c>
      <c r="I168" s="4" t="b">
        <v>0</v>
      </c>
      <c r="K168" s="4" t="b">
        <f>IF(COUNTIF($B$2:$B168,B168)&gt;1,TRUE,FALSE)</f>
        <v>1</v>
      </c>
      <c r="L168" t="str">
        <f>IF(
K168,"p["""&amp;B168&amp;"""].update({"&amp;""""&amp;C168&amp;""":{"&amp;_xlfn.CONCAT(N168:T168)&amp;"}})","p.update("&amp;M168&amp;")"
)</f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>"{"&amp;""""&amp;B168
&amp;""":{"&amp;""""&amp;C168&amp;""":{"&amp;_xlfn.CONCAT(N168:T168)&amp;"}}}"</f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13"/>
        <v>"type":"string",</v>
      </c>
      <c r="O168" t="str">
        <f t="shared" si="14"/>
        <v>"subtype":"possibly-localized-string",</v>
      </c>
      <c r="P168" t="str">
        <f t="shared" si="15"/>
        <v>"indent":2,</v>
      </c>
      <c r="Q168" t="str">
        <f t="shared" si="19"/>
        <v>"default_value":"",</v>
      </c>
      <c r="R168" t="str">
        <f t="shared" si="16"/>
        <v>"docs_url":"https://looker.com/docs/r/lookml/types/dimension_group/description?version=7.14&amp;lookml=new",</v>
      </c>
      <c r="S168" t="str">
        <f t="shared" si="17"/>
        <v>"has_allowed_values":False,</v>
      </c>
      <c r="T168" t="str">
        <f t="shared" si="18"/>
        <v>"allowed_values":""</v>
      </c>
    </row>
    <row r="169" spans="1:20" ht="13" x14ac:dyDescent="0.15">
      <c r="A169" s="7">
        <v>180</v>
      </c>
      <c r="B169" s="6" t="s">
        <v>21</v>
      </c>
      <c r="C169" s="6" t="s">
        <v>123</v>
      </c>
      <c r="D169" s="4" t="s">
        <v>569</v>
      </c>
      <c r="E169" s="4" t="s">
        <v>569</v>
      </c>
      <c r="F169" s="4">
        <v>2</v>
      </c>
      <c r="G169" s="4" t="s">
        <v>604</v>
      </c>
      <c r="H169" s="4" t="s">
        <v>305</v>
      </c>
      <c r="I169" s="4" t="b">
        <v>0</v>
      </c>
      <c r="K169" s="4" t="b">
        <f>IF(COUNTIF($B$2:$B169,B169)&gt;1,TRUE,FALSE)</f>
        <v>1</v>
      </c>
      <c r="L169" t="str">
        <f>IF(
K169,"p["""&amp;B169&amp;"""].update({"&amp;""""&amp;C169&amp;""":{"&amp;_xlfn.CONCAT(N169:T169)&amp;"}})","p.update("&amp;M169&amp;")"
)</f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>"{"&amp;""""&amp;B169
&amp;""":{"&amp;""""&amp;C169&amp;""":{"&amp;_xlfn.CONCAT(N169:T169)&amp;"}}}"</f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13"/>
        <v>"type":"yesno",</v>
      </c>
      <c r="O169" t="str">
        <f t="shared" si="14"/>
        <v>"subtype":"yesno",</v>
      </c>
      <c r="P169" t="str">
        <f t="shared" si="15"/>
        <v>"indent":2,</v>
      </c>
      <c r="Q169" t="str">
        <f t="shared" si="19"/>
        <v>"default_value":"no",</v>
      </c>
      <c r="R169" t="str">
        <f t="shared" si="16"/>
        <v>"docs_url":"https://looker.com/docs/r/lookml/types/dimension_group/hidden?version=7.14&amp;lookml=new",</v>
      </c>
      <c r="S169" t="str">
        <f t="shared" si="17"/>
        <v>"has_allowed_values":False,</v>
      </c>
      <c r="T169" t="str">
        <f t="shared" si="18"/>
        <v>"allowed_values":""</v>
      </c>
    </row>
    <row r="170" spans="1:20" ht="13" x14ac:dyDescent="0.15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592</v>
      </c>
      <c r="H170" s="4" t="s">
        <v>306</v>
      </c>
      <c r="I170" s="4" t="b">
        <v>0</v>
      </c>
      <c r="K170" s="4" t="b">
        <f>IF(COUNTIF($B$2:$B170,B170)&gt;1,TRUE,FALSE)</f>
        <v>1</v>
      </c>
      <c r="L170" t="str">
        <f>IF(
K170,"p["""&amp;B170&amp;"""].update({"&amp;""""&amp;C170&amp;""":{"&amp;_xlfn.CONCAT(N170:T170)&amp;"}})","p.update("&amp;M170&amp;")"
)</f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>"{"&amp;""""&amp;B170
&amp;""":{"&amp;""""&amp;C170&amp;""":{"&amp;_xlfn.CONCAT(N170:T170)&amp;"}}}"</f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13"/>
        <v>"type":"string",</v>
      </c>
      <c r="O170" t="str">
        <f t="shared" si="14"/>
        <v>"subtype":"possibly-localized-string",</v>
      </c>
      <c r="P170" t="str">
        <f t="shared" si="15"/>
        <v>"indent":2,</v>
      </c>
      <c r="Q170" t="str">
        <f t="shared" si="19"/>
        <v>"default_value":"",</v>
      </c>
      <c r="R170" t="str">
        <f t="shared" si="16"/>
        <v>"docs_url":"https://looker.com/docs/r/lookml/types/dimension_group/label?version=7.14&amp;lookml=new",</v>
      </c>
      <c r="S170" t="str">
        <f t="shared" si="17"/>
        <v>"has_allowed_values":False,</v>
      </c>
      <c r="T170" t="str">
        <f t="shared" si="18"/>
        <v>"allowed_values":""</v>
      </c>
    </row>
    <row r="171" spans="1:20" ht="13" x14ac:dyDescent="0.15">
      <c r="A171" s="7">
        <v>182</v>
      </c>
      <c r="B171" s="6" t="s">
        <v>31</v>
      </c>
      <c r="C171" s="6" t="s">
        <v>123</v>
      </c>
      <c r="D171" s="4" t="s">
        <v>612</v>
      </c>
      <c r="E171" s="4" t="s">
        <v>596</v>
      </c>
      <c r="F171" s="4">
        <v>2</v>
      </c>
      <c r="H171" s="4" t="s">
        <v>307</v>
      </c>
      <c r="I171" s="4" t="b">
        <v>0</v>
      </c>
      <c r="K171" s="4" t="b">
        <f>IF(COUNTIF($B$2:$B171,B171)&gt;1,TRUE,FALSE)</f>
        <v>1</v>
      </c>
      <c r="L171" t="str">
        <f>IF(
K171,"p["""&amp;B171&amp;"""].update({"&amp;""""&amp;C171&amp;""":{"&amp;_xlfn.CONCAT(N171:T171)&amp;"}})","p.update("&amp;M171&amp;")"
)</f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>"{"&amp;""""&amp;B171
&amp;""":{"&amp;""""&amp;C171&amp;""":{"&amp;_xlfn.CONCAT(N171:T171)&amp;"}}}"</f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13"/>
        <v>"type":"list_unquoted",</v>
      </c>
      <c r="O171" t="str">
        <f t="shared" si="14"/>
        <v>"subtype":"access-grant-ref",</v>
      </c>
      <c r="P171" t="str">
        <f t="shared" si="15"/>
        <v>"indent":2,</v>
      </c>
      <c r="Q171" t="str">
        <f t="shared" si="19"/>
        <v>"default_value":"",</v>
      </c>
      <c r="R171" t="str">
        <f t="shared" si="16"/>
        <v>"docs_url":"https://looker.com/docs/r/lookml/types/dimension_group/required_access_grants?version=7.14&amp;lookml=new",</v>
      </c>
      <c r="S171" t="str">
        <f t="shared" si="17"/>
        <v>"has_allowed_values":False,</v>
      </c>
      <c r="T171" t="str">
        <f t="shared" si="18"/>
        <v>"allowed_values":""</v>
      </c>
    </row>
    <row r="172" spans="1:20" ht="13" x14ac:dyDescent="0.15">
      <c r="A172" s="7">
        <v>183</v>
      </c>
      <c r="B172" s="6" t="s">
        <v>45</v>
      </c>
      <c r="C172" s="6" t="s">
        <v>123</v>
      </c>
      <c r="D172" s="4" t="s">
        <v>569</v>
      </c>
      <c r="E172" s="4" t="s">
        <v>569</v>
      </c>
      <c r="F172" s="4">
        <v>2</v>
      </c>
      <c r="G172" s="4" t="s">
        <v>605</v>
      </c>
      <c r="H172" s="4" t="s">
        <v>308</v>
      </c>
      <c r="I172" s="4" t="b">
        <v>0</v>
      </c>
      <c r="K172" s="4" t="b">
        <f>IF(COUNTIF($B$2:$B172,B172)&gt;1,TRUE,FALSE)</f>
        <v>1</v>
      </c>
      <c r="L172" t="str">
        <f>IF(
K172,"p["""&amp;B172&amp;"""].update({"&amp;""""&amp;C172&amp;""":{"&amp;_xlfn.CONCAT(N172:T172)&amp;"}})","p.update("&amp;M172&amp;")"
)</f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>"{"&amp;""""&amp;B172
&amp;""":{"&amp;""""&amp;C172&amp;""":{"&amp;_xlfn.CONCAT(N172:T172)&amp;"}}}"</f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13"/>
        <v>"type":"yesno",</v>
      </c>
      <c r="O172" t="str">
        <f t="shared" si="14"/>
        <v>"subtype":"yesno",</v>
      </c>
      <c r="P172" t="str">
        <f t="shared" si="15"/>
        <v>"indent":2,</v>
      </c>
      <c r="Q172" t="str">
        <f t="shared" si="19"/>
        <v>"default_value":"yes",</v>
      </c>
      <c r="R172" t="str">
        <f t="shared" si="16"/>
        <v>"docs_url":"https://looker.com/docs/r/lookml/types/dimension_group/suggestable?version=7.14&amp;lookml=new",</v>
      </c>
      <c r="S172" t="str">
        <f t="shared" si="17"/>
        <v>"has_allowed_values":False,</v>
      </c>
      <c r="T172" t="str">
        <f t="shared" si="18"/>
        <v>"allowed_values":""</v>
      </c>
    </row>
    <row r="173" spans="1:20" ht="13" x14ac:dyDescent="0.15">
      <c r="A173" s="7">
        <v>184</v>
      </c>
      <c r="B173" s="6" t="s">
        <v>47</v>
      </c>
      <c r="C173" s="6" t="s">
        <v>123</v>
      </c>
      <c r="D173" s="4" t="s">
        <v>598</v>
      </c>
      <c r="E173" s="4" t="s">
        <v>598</v>
      </c>
      <c r="F173" s="4">
        <v>2</v>
      </c>
      <c r="H173" s="4" t="s">
        <v>309</v>
      </c>
      <c r="I173" s="4" t="b">
        <v>0</v>
      </c>
      <c r="K173" s="4" t="b">
        <f>IF(COUNTIF($B$2:$B173,B173)&gt;1,TRUE,FALSE)</f>
        <v>1</v>
      </c>
      <c r="L173" t="str">
        <f>IF(
K173,"p["""&amp;B173&amp;"""].update({"&amp;""""&amp;C173&amp;""":{"&amp;_xlfn.CONCAT(N173:T173)&amp;"}})","p.update("&amp;M173&amp;")"
)</f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>"{"&amp;""""&amp;B173
&amp;""":{"&amp;""""&amp;C173&amp;""":{"&amp;_xlfn.CONCAT(N173:T173)&amp;"}}}"</f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13"/>
        <v>"type":"list_quoted",</v>
      </c>
      <c r="O173" t="str">
        <f t="shared" si="14"/>
        <v>"subtype":"list_quoted",</v>
      </c>
      <c r="P173" t="str">
        <f t="shared" si="15"/>
        <v>"indent":2,</v>
      </c>
      <c r="Q173" t="str">
        <f t="shared" si="19"/>
        <v>"default_value":"",</v>
      </c>
      <c r="R173" t="str">
        <f t="shared" si="16"/>
        <v>"docs_url":"https://looker.com/docs/r/lookml/types/dimension_group/tags?version=7.14&amp;lookml=new",</v>
      </c>
      <c r="S173" t="str">
        <f t="shared" si="17"/>
        <v>"has_allowed_values":False,</v>
      </c>
      <c r="T173" t="str">
        <f t="shared" si="18"/>
        <v>"allowed_values":""</v>
      </c>
    </row>
    <row r="174" spans="1:20" ht="13" x14ac:dyDescent="0.15">
      <c r="A174" s="7">
        <v>185</v>
      </c>
      <c r="B174" s="6" t="s">
        <v>49</v>
      </c>
      <c r="C174" s="6" t="s">
        <v>123</v>
      </c>
      <c r="D174" s="4" t="s">
        <v>551</v>
      </c>
      <c r="E174" s="4" t="s">
        <v>551</v>
      </c>
      <c r="F174" s="4">
        <v>2</v>
      </c>
      <c r="G174" s="4" t="s">
        <v>568</v>
      </c>
      <c r="H174" s="4" t="s">
        <v>310</v>
      </c>
      <c r="I174" s="4" t="b">
        <v>1</v>
      </c>
      <c r="J174" s="4" t="s">
        <v>590</v>
      </c>
      <c r="K174" s="4" t="b">
        <f>IF(COUNTIF($B$2:$B174,B174)&gt;1,TRUE,FALSE)</f>
        <v>1</v>
      </c>
      <c r="L174" t="str">
        <f>IF(
K174,"p["""&amp;B174&amp;"""].update({"&amp;""""&amp;C174&amp;""":{"&amp;_xlfn.CONCAT(N174:T174)&amp;"}})","p.update("&amp;M174&amp;")"
)</f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>"{"&amp;""""&amp;B174
&amp;""":{"&amp;""""&amp;C174&amp;""":{"&amp;_xlfn.CONCAT(N174:T174)&amp;"}}}"</f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13"/>
        <v>"type":"options",</v>
      </c>
      <c r="O174" t="str">
        <f t="shared" si="14"/>
        <v>"subtype":"options",</v>
      </c>
      <c r="P174" t="str">
        <f t="shared" si="15"/>
        <v>"indent":2,</v>
      </c>
      <c r="Q174" t="str">
        <f t="shared" si="19"/>
        <v>"default_value":"time",</v>
      </c>
      <c r="R174" t="str">
        <f t="shared" si="16"/>
        <v>"docs_url":"https://looker.com/docs/r/lookml/types/dimension_group/type?version=7.14&amp;lookml=new",</v>
      </c>
      <c r="S174" t="str">
        <f t="shared" si="17"/>
        <v>"has_allowed_values":True,</v>
      </c>
      <c r="T174" t="str">
        <f t="shared" si="18"/>
        <v>"allowed_values":["duration","time"]</v>
      </c>
    </row>
    <row r="175" spans="1:20" ht="13" x14ac:dyDescent="0.15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599</v>
      </c>
      <c r="F175" s="4">
        <v>2</v>
      </c>
      <c r="H175" s="4" t="s">
        <v>311</v>
      </c>
      <c r="I175" s="4" t="b">
        <v>0</v>
      </c>
      <c r="K175" s="4" t="b">
        <f>IF(COUNTIF($B$2:$B175,B175)&gt;1,TRUE,FALSE)</f>
        <v>1</v>
      </c>
      <c r="L175" t="str">
        <f>IF(
K175,"p["""&amp;B175&amp;"""].update({"&amp;""""&amp;C175&amp;""":{"&amp;_xlfn.CONCAT(N175:T175)&amp;"}})","p.update("&amp;M175&amp;")"
)</f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>"{"&amp;""""&amp;B175
&amp;""":{"&amp;""""&amp;C175&amp;""":{"&amp;_xlfn.CONCAT(N175:T175)&amp;"}}}"</f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13"/>
        <v>"type":"string_unquoted",</v>
      </c>
      <c r="O175" t="str">
        <f t="shared" si="14"/>
        <v>"subtype":"field-ref",</v>
      </c>
      <c r="P175" t="str">
        <f t="shared" si="15"/>
        <v>"indent":2,</v>
      </c>
      <c r="Q175" t="str">
        <f t="shared" si="19"/>
        <v>"default_value":"",</v>
      </c>
      <c r="R175" t="str">
        <f t="shared" si="16"/>
        <v>"docs_url":"https://looker.com/docs/r/lookml/types/dimension_group/suggest_dimension?version=7.14&amp;lookml=new",</v>
      </c>
      <c r="S175" t="str">
        <f t="shared" si="17"/>
        <v>"has_allowed_values":False,</v>
      </c>
      <c r="T175" t="str">
        <f t="shared" si="18"/>
        <v>"allowed_values":""</v>
      </c>
    </row>
    <row r="176" spans="1:20" ht="13" x14ac:dyDescent="0.15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599</v>
      </c>
      <c r="F176" s="4">
        <v>2</v>
      </c>
      <c r="H176" s="4" t="s">
        <v>312</v>
      </c>
      <c r="I176" s="4" t="b">
        <v>0</v>
      </c>
      <c r="K176" s="4" t="b">
        <f>IF(COUNTIF($B$2:$B176,B176)&gt;1,TRUE,FALSE)</f>
        <v>1</v>
      </c>
      <c r="L176" t="str">
        <f>IF(
K176,"p["""&amp;B176&amp;"""].update({"&amp;""""&amp;C176&amp;""":{"&amp;_xlfn.CONCAT(N176:T176)&amp;"}})","p.update("&amp;M176&amp;")"
)</f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>"{"&amp;""""&amp;B176
&amp;""":{"&amp;""""&amp;C176&amp;""":{"&amp;_xlfn.CONCAT(N176:T176)&amp;"}}}"</f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13"/>
        <v>"type":"string_unquoted",</v>
      </c>
      <c r="O176" t="str">
        <f t="shared" si="14"/>
        <v>"subtype":"explore-ref",</v>
      </c>
      <c r="P176" t="str">
        <f t="shared" si="15"/>
        <v>"indent":2,</v>
      </c>
      <c r="Q176" t="str">
        <f t="shared" si="19"/>
        <v>"default_value":"",</v>
      </c>
      <c r="R176" t="str">
        <f t="shared" si="16"/>
        <v>"docs_url":"https://looker.com/docs/r/lookml/types/dimension_group/suggest_explore?version=7.14&amp;lookml=new",</v>
      </c>
      <c r="S176" t="str">
        <f t="shared" si="17"/>
        <v>"has_allowed_values":False,</v>
      </c>
      <c r="T176" t="str">
        <f t="shared" si="18"/>
        <v>"allowed_values":""</v>
      </c>
    </row>
    <row r="177" spans="1:20" ht="13" x14ac:dyDescent="0.15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592</v>
      </c>
      <c r="H177" s="4" t="s">
        <v>313</v>
      </c>
      <c r="I177" s="4" t="b">
        <v>0</v>
      </c>
      <c r="K177" s="4" t="b">
        <f>IF(COUNTIF($B$2:$B177,B177)&gt;1,TRUE,FALSE)</f>
        <v>1</v>
      </c>
      <c r="L177" t="str">
        <f>IF(
K177,"p["""&amp;B177&amp;"""].update({"&amp;""""&amp;C177&amp;""":{"&amp;_xlfn.CONCAT(N177:T177)&amp;"}})","p.update("&amp;M177&amp;")"
)</f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>"{"&amp;""""&amp;B177
&amp;""":{"&amp;""""&amp;C177&amp;""":{"&amp;_xlfn.CONCAT(N177:T177)&amp;"}}}"</f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13"/>
        <v>"type":"string",</v>
      </c>
      <c r="O177" t="str">
        <f t="shared" si="14"/>
        <v>"subtype":"possibly-localized-string",</v>
      </c>
      <c r="P177" t="str">
        <f t="shared" si="15"/>
        <v>"indent":2,</v>
      </c>
      <c r="Q177" t="str">
        <f t="shared" si="19"/>
        <v>"default_value":"",</v>
      </c>
      <c r="R177" t="str">
        <f t="shared" si="16"/>
        <v>"docs_url":"https://looker.com/docs/r/lookml/types/dimension_group/view_label?version=7.14&amp;lookml=new",</v>
      </c>
      <c r="S177" t="str">
        <f t="shared" si="17"/>
        <v>"has_allowed_values":False,</v>
      </c>
      <c r="T177" t="str">
        <f t="shared" si="18"/>
        <v>"allowed_values":""</v>
      </c>
    </row>
    <row r="178" spans="1:20" ht="13" x14ac:dyDescent="0.15">
      <c r="A178" s="7">
        <v>191</v>
      </c>
      <c r="B178" s="6" t="s">
        <v>5</v>
      </c>
      <c r="C178" s="6" t="s">
        <v>124</v>
      </c>
      <c r="D178" s="4" t="s">
        <v>569</v>
      </c>
      <c r="E178" s="4" t="s">
        <v>569</v>
      </c>
      <c r="F178" s="4">
        <v>2</v>
      </c>
      <c r="G178" s="4" t="s">
        <v>604</v>
      </c>
      <c r="H178" s="4" t="s">
        <v>314</v>
      </c>
      <c r="I178" s="4" t="b">
        <v>0</v>
      </c>
      <c r="K178" s="4" t="b">
        <f>IF(COUNTIF($B$2:$B178,B178)&gt;1,TRUE,FALSE)</f>
        <v>1</v>
      </c>
      <c r="L178" t="str">
        <f>IF(
K178,"p["""&amp;B178&amp;"""].update({"&amp;""""&amp;C178&amp;""":{"&amp;_xlfn.CONCAT(N178:T178)&amp;"}})","p.update("&amp;M178&amp;")"
)</f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>"{"&amp;""""&amp;B178
&amp;""":{"&amp;""""&amp;C178&amp;""":{"&amp;_xlfn.CONCAT(N178:T178)&amp;"}}}"</f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13"/>
        <v>"type":"yesno",</v>
      </c>
      <c r="O178" t="str">
        <f t="shared" si="14"/>
        <v>"subtype":"yesno",</v>
      </c>
      <c r="P178" t="str">
        <f t="shared" si="15"/>
        <v>"indent":2,</v>
      </c>
      <c r="Q178" t="str">
        <f t="shared" si="19"/>
        <v>"default_value":"no",</v>
      </c>
      <c r="R178" t="str">
        <f t="shared" si="16"/>
        <v>"docs_url":"https://looker.com/docs/r/lookml/types/filter/bypass_suggest_restrictions?version=7.14&amp;lookml=new",</v>
      </c>
      <c r="S178" t="str">
        <f t="shared" si="17"/>
        <v>"has_allowed_values":False,</v>
      </c>
      <c r="T178" t="str">
        <f t="shared" si="18"/>
        <v>"allowed_values":""</v>
      </c>
    </row>
    <row r="179" spans="1:20" ht="13" x14ac:dyDescent="0.15">
      <c r="A179" s="7">
        <v>192</v>
      </c>
      <c r="B179" s="6" t="s">
        <v>8</v>
      </c>
      <c r="C179" s="6" t="s">
        <v>124</v>
      </c>
      <c r="D179" s="4" t="s">
        <v>569</v>
      </c>
      <c r="E179" s="4" t="s">
        <v>569</v>
      </c>
      <c r="F179" s="4">
        <v>2</v>
      </c>
      <c r="G179" s="4" t="s">
        <v>605</v>
      </c>
      <c r="H179" s="4" t="s">
        <v>315</v>
      </c>
      <c r="I179" s="4" t="b">
        <v>0</v>
      </c>
      <c r="K179" s="4" t="b">
        <f>IF(COUNTIF($B$2:$B179,B179)&gt;1,TRUE,FALSE)</f>
        <v>1</v>
      </c>
      <c r="L179" t="str">
        <f>IF(
K179,"p["""&amp;B179&amp;"""].update({"&amp;""""&amp;C179&amp;""":{"&amp;_xlfn.CONCAT(N179:T179)&amp;"}})","p.update("&amp;M179&amp;")"
)</f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>"{"&amp;""""&amp;B179
&amp;""":{"&amp;""""&amp;C179&amp;""":{"&amp;_xlfn.CONCAT(N179:T179)&amp;"}}}"</f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13"/>
        <v>"type":"yesno",</v>
      </c>
      <c r="O179" t="str">
        <f t="shared" si="14"/>
        <v>"subtype":"yesno",</v>
      </c>
      <c r="P179" t="str">
        <f t="shared" si="15"/>
        <v>"indent":2,</v>
      </c>
      <c r="Q179" t="str">
        <f t="shared" si="19"/>
        <v>"default_value":"yes",</v>
      </c>
      <c r="R179" t="str">
        <f t="shared" si="16"/>
        <v>"docs_url":"https://looker.com/docs/r/lookml/types/filter/case_sensitive?version=7.14&amp;lookml=new",</v>
      </c>
      <c r="S179" t="str">
        <f t="shared" si="17"/>
        <v>"has_allowed_values":False,</v>
      </c>
      <c r="T179" t="str">
        <f t="shared" si="18"/>
        <v>"allowed_values":""</v>
      </c>
    </row>
    <row r="180" spans="1:20" ht="13" x14ac:dyDescent="0.15">
      <c r="A180" s="7">
        <v>193</v>
      </c>
      <c r="B180" s="6" t="s">
        <v>10</v>
      </c>
      <c r="C180" s="6" t="s">
        <v>124</v>
      </c>
      <c r="D180" s="4" t="s">
        <v>551</v>
      </c>
      <c r="E180" s="4" t="s">
        <v>551</v>
      </c>
      <c r="F180" s="4">
        <v>2</v>
      </c>
      <c r="G180" s="4" t="s">
        <v>575</v>
      </c>
      <c r="H180" s="4" t="s">
        <v>316</v>
      </c>
      <c r="I180" s="4" t="b">
        <v>1</v>
      </c>
      <c r="J180" s="4" t="s">
        <v>576</v>
      </c>
      <c r="K180" s="4" t="b">
        <f>IF(COUNTIF($B$2:$B180,B180)&gt;1,TRUE,FALSE)</f>
        <v>1</v>
      </c>
      <c r="L180" t="str">
        <f>IF(
K180,"p["""&amp;B180&amp;"""].update({"&amp;""""&amp;C180&amp;""":{"&amp;_xlfn.CONCAT(N180:T180)&amp;"}})","p.update("&amp;M180&amp;")"
)</f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>"{"&amp;""""&amp;B180
&amp;""":{"&amp;""""&amp;C180&amp;""":{"&amp;_xlfn.CONCAT(N180:T180)&amp;"}}}"</f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13"/>
        <v>"type":"options",</v>
      </c>
      <c r="O180" t="str">
        <f t="shared" si="14"/>
        <v>"subtype":"options",</v>
      </c>
      <c r="P180" t="str">
        <f t="shared" si="15"/>
        <v>"indent":2,</v>
      </c>
      <c r="Q180" t="str">
        <f t="shared" si="19"/>
        <v>"default_value":"timestamp",</v>
      </c>
      <c r="R180" t="str">
        <f t="shared" si="16"/>
        <v>"docs_url":"https://looker.com/docs/r/lookml/types/filter/datatype?version=7.14&amp;lookml=new",</v>
      </c>
      <c r="S180" t="str">
        <f t="shared" si="17"/>
        <v>"has_allowed_values":True,</v>
      </c>
      <c r="T180" t="str">
        <f t="shared" si="18"/>
        <v>"allowed_values":["timestamp","epoch","date","datetime","timestamp", "yyyymmdd"]</v>
      </c>
    </row>
    <row r="181" spans="1:20" ht="13" x14ac:dyDescent="0.15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592</v>
      </c>
      <c r="H181" s="4" t="s">
        <v>317</v>
      </c>
      <c r="I181" s="4" t="b">
        <v>0</v>
      </c>
      <c r="K181" s="4" t="b">
        <f>IF(COUNTIF($B$2:$B181,B181)&gt;1,TRUE,FALSE)</f>
        <v>0</v>
      </c>
      <c r="L181" t="str">
        <f>IF(
K181,"p["""&amp;B181&amp;"""].update({"&amp;""""&amp;C181&amp;""":{"&amp;_xlfn.CONCAT(N181:T181)&amp;"}})","p.update("&amp;M181&amp;")"
)</f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>"{"&amp;""""&amp;B181
&amp;""":{"&amp;""""&amp;C181&amp;""":{"&amp;_xlfn.CONCAT(N181:T181)&amp;"}}}"</f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13"/>
        <v>"type":"string",</v>
      </c>
      <c r="O181" t="str">
        <f t="shared" si="14"/>
        <v>"subtype":"string",</v>
      </c>
      <c r="P181" t="str">
        <f t="shared" si="15"/>
        <v>"indent":2,</v>
      </c>
      <c r="Q181" t="str">
        <f t="shared" si="19"/>
        <v>"default_value":"",</v>
      </c>
      <c r="R181" t="str">
        <f t="shared" si="16"/>
        <v>"docs_url":"https://looker.com/docs/r/lookml/types/filter/default_value?version=7.14&amp;lookml=new",</v>
      </c>
      <c r="S181" t="str">
        <f t="shared" si="17"/>
        <v>"has_allowed_values":False,</v>
      </c>
      <c r="T181" t="str">
        <f t="shared" si="18"/>
        <v>"allowed_values":""</v>
      </c>
    </row>
    <row r="182" spans="1:20" ht="13" x14ac:dyDescent="0.15">
      <c r="A182" s="7">
        <v>195</v>
      </c>
      <c r="B182" s="6" t="s">
        <v>18</v>
      </c>
      <c r="C182" s="6" t="s">
        <v>124</v>
      </c>
      <c r="D182" s="4" t="s">
        <v>569</v>
      </c>
      <c r="E182" s="4" t="s">
        <v>569</v>
      </c>
      <c r="F182" s="4">
        <v>2</v>
      </c>
      <c r="G182" s="4" t="s">
        <v>605</v>
      </c>
      <c r="H182" s="4" t="s">
        <v>318</v>
      </c>
      <c r="I182" s="4" t="b">
        <v>0</v>
      </c>
      <c r="K182" s="4" t="b">
        <f>IF(COUNTIF($B$2:$B182,B182)&gt;1,TRUE,FALSE)</f>
        <v>1</v>
      </c>
      <c r="L182" t="str">
        <f>IF(
K182,"p["""&amp;B182&amp;"""].update({"&amp;""""&amp;C182&amp;""":{"&amp;_xlfn.CONCAT(N182:T182)&amp;"}})","p.update("&amp;M182&amp;")"
)</f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>"{"&amp;""""&amp;B182
&amp;""":{"&amp;""""&amp;C182&amp;""":{"&amp;_xlfn.CONCAT(N182:T182)&amp;"}}}"</f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13"/>
        <v>"type":"yesno",</v>
      </c>
      <c r="O182" t="str">
        <f t="shared" si="14"/>
        <v>"subtype":"yesno",</v>
      </c>
      <c r="P182" t="str">
        <f t="shared" si="15"/>
        <v>"indent":2,</v>
      </c>
      <c r="Q182" t="str">
        <f t="shared" si="19"/>
        <v>"default_value":"yes",</v>
      </c>
      <c r="R182" t="str">
        <f t="shared" si="16"/>
        <v>"docs_url":"https://looker.com/docs/r/lookml/types/filter/full_suggestions?version=7.14&amp;lookml=new",</v>
      </c>
      <c r="S182" t="str">
        <f t="shared" si="17"/>
        <v>"has_allowed_values":False,</v>
      </c>
      <c r="T182" t="str">
        <f t="shared" si="18"/>
        <v>"allowed_values":""</v>
      </c>
    </row>
    <row r="183" spans="1:20" ht="13" x14ac:dyDescent="0.15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592</v>
      </c>
      <c r="H183" s="4" t="s">
        <v>319</v>
      </c>
      <c r="I183" s="4" t="b">
        <v>0</v>
      </c>
      <c r="K183" s="4" t="b">
        <f>IF(COUNTIF($B$2:$B183,B183)&gt;1,TRUE,FALSE)</f>
        <v>1</v>
      </c>
      <c r="L183" t="str">
        <f>IF(
K183,"p["""&amp;B183&amp;"""].update({"&amp;""""&amp;C183&amp;""":{"&amp;_xlfn.CONCAT(N183:T183)&amp;"}})","p.update("&amp;M183&amp;")"
)</f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>"{"&amp;""""&amp;B183
&amp;""":{"&amp;""""&amp;C183&amp;""":{"&amp;_xlfn.CONCAT(N183:T183)&amp;"}}}"</f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13"/>
        <v>"type":"string",</v>
      </c>
      <c r="O183" t="str">
        <f t="shared" si="14"/>
        <v>"subtype":"possibly-localized-string",</v>
      </c>
      <c r="P183" t="str">
        <f t="shared" si="15"/>
        <v>"indent":2,</v>
      </c>
      <c r="Q183" t="str">
        <f t="shared" si="19"/>
        <v>"default_value":"",</v>
      </c>
      <c r="R183" t="str">
        <f t="shared" si="16"/>
        <v>"docs_url":"https://looker.com/docs/r/lookml/types/filter/group_label?version=7.14&amp;lookml=new",</v>
      </c>
      <c r="S183" t="str">
        <f t="shared" si="17"/>
        <v>"has_allowed_values":False,</v>
      </c>
      <c r="T183" t="str">
        <f t="shared" si="18"/>
        <v>"allowed_values":""</v>
      </c>
    </row>
    <row r="184" spans="1:20" ht="13" x14ac:dyDescent="0.15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592</v>
      </c>
      <c r="H184" s="4" t="s">
        <v>320</v>
      </c>
      <c r="I184" s="4" t="b">
        <v>0</v>
      </c>
      <c r="K184" s="4" t="b">
        <f>IF(COUNTIF($B$2:$B184,B184)&gt;1,TRUE,FALSE)</f>
        <v>1</v>
      </c>
      <c r="L184" t="str">
        <f>IF(
K184,"p["""&amp;B184&amp;"""].update({"&amp;""""&amp;C184&amp;""":{"&amp;_xlfn.CONCAT(N184:T184)&amp;"}})","p.update("&amp;M184&amp;")"
)</f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>"{"&amp;""""&amp;B184
&amp;""":{"&amp;""""&amp;C184&amp;""":{"&amp;_xlfn.CONCAT(N184:T184)&amp;"}}}"</f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13"/>
        <v>"type":"string",</v>
      </c>
      <c r="O184" t="str">
        <f t="shared" si="14"/>
        <v>"subtype":"possibly-localized-string",</v>
      </c>
      <c r="P184" t="str">
        <f t="shared" si="15"/>
        <v>"indent":2,</v>
      </c>
      <c r="Q184" t="str">
        <f t="shared" si="19"/>
        <v>"default_value":"",</v>
      </c>
      <c r="R184" t="str">
        <f t="shared" si="16"/>
        <v>"docs_url":"https://looker.com/docs/r/lookml/types/filter/group_item_label?version=7.14&amp;lookml=new",</v>
      </c>
      <c r="S184" t="str">
        <f t="shared" si="17"/>
        <v>"has_allowed_values":False,</v>
      </c>
      <c r="T184" t="str">
        <f t="shared" si="18"/>
        <v>"allowed_values":""</v>
      </c>
    </row>
    <row r="185" spans="1:20" ht="13" x14ac:dyDescent="0.15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596</v>
      </c>
      <c r="F185" s="4">
        <v>2</v>
      </c>
      <c r="H185" s="4" t="s">
        <v>321</v>
      </c>
      <c r="I185" s="4" t="b">
        <v>0</v>
      </c>
      <c r="K185" s="4" t="b">
        <f>IF(COUNTIF($B$2:$B185,B185)&gt;1,TRUE,FALSE)</f>
        <v>1</v>
      </c>
      <c r="L185" t="str">
        <f>IF(
K185,"p["""&amp;B185&amp;"""].update({"&amp;""""&amp;C185&amp;""":{"&amp;_xlfn.CONCAT(N185:T185)&amp;"}})","p.update("&amp;M185&amp;")"
)</f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>"{"&amp;""""&amp;B185
&amp;""":{"&amp;""""&amp;C185&amp;""":{"&amp;_xlfn.CONCAT(N185:T185)&amp;"}}}"</f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13"/>
        <v>"type":"list_unquoted",</v>
      </c>
      <c r="O185" t="str">
        <f t="shared" si="14"/>
        <v>"subtype":"field-ref",</v>
      </c>
      <c r="P185" t="str">
        <f t="shared" si="15"/>
        <v>"indent":2,</v>
      </c>
      <c r="Q185" t="str">
        <f t="shared" si="19"/>
        <v>"default_value":"",</v>
      </c>
      <c r="R185" t="str">
        <f t="shared" si="16"/>
        <v>"docs_url":"https://looker.com/docs/r/lookml/types/filter/required_fields?version=7.14&amp;lookml=new",</v>
      </c>
      <c r="S185" t="str">
        <f t="shared" si="17"/>
        <v>"has_allowed_values":False,</v>
      </c>
      <c r="T185" t="str">
        <f t="shared" si="18"/>
        <v>"allowed_values":""</v>
      </c>
    </row>
    <row r="186" spans="1:20" ht="13" x14ac:dyDescent="0.15">
      <c r="A186" s="7">
        <v>199</v>
      </c>
      <c r="B186" s="6" t="s">
        <v>46</v>
      </c>
      <c r="C186" s="6" t="s">
        <v>124</v>
      </c>
      <c r="D186" s="4" t="s">
        <v>598</v>
      </c>
      <c r="E186" s="4" t="s">
        <v>598</v>
      </c>
      <c r="F186" s="4">
        <v>2</v>
      </c>
      <c r="H186" s="4" t="s">
        <v>322</v>
      </c>
      <c r="I186" s="4" t="b">
        <v>0</v>
      </c>
      <c r="K186" s="4" t="b">
        <f>IF(COUNTIF($B$2:$B186,B186)&gt;1,TRUE,FALSE)</f>
        <v>1</v>
      </c>
      <c r="L186" t="str">
        <f>IF(
K186,"p["""&amp;B186&amp;"""].update({"&amp;""""&amp;C186&amp;""":{"&amp;_xlfn.CONCAT(N186:T186)&amp;"}})","p.update("&amp;M186&amp;")"
)</f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>"{"&amp;""""&amp;B186
&amp;""":{"&amp;""""&amp;C186&amp;""":{"&amp;_xlfn.CONCAT(N186:T186)&amp;"}}}"</f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13"/>
        <v>"type":"list_quoted",</v>
      </c>
      <c r="O186" t="str">
        <f t="shared" si="14"/>
        <v>"subtype":"list_quoted",</v>
      </c>
      <c r="P186" t="str">
        <f t="shared" si="15"/>
        <v>"indent":2,</v>
      </c>
      <c r="Q186" t="str">
        <f t="shared" si="19"/>
        <v>"default_value":"",</v>
      </c>
      <c r="R186" t="str">
        <f t="shared" si="16"/>
        <v>"docs_url":"https://looker.com/docs/r/lookml/types/filter/suggestions?version=7.14&amp;lookml=new",</v>
      </c>
      <c r="S186" t="str">
        <f t="shared" si="17"/>
        <v>"has_allowed_values":False,</v>
      </c>
      <c r="T186" t="str">
        <f t="shared" si="18"/>
        <v>"allowed_values":""</v>
      </c>
    </row>
    <row r="187" spans="1:20" ht="13" x14ac:dyDescent="0.15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592</v>
      </c>
      <c r="H187" s="4" t="s">
        <v>323</v>
      </c>
      <c r="I187" s="4" t="b">
        <v>0</v>
      </c>
      <c r="K187" s="4" t="b">
        <f>IF(COUNTIF($B$2:$B187,B187)&gt;1,TRUE,FALSE)</f>
        <v>1</v>
      </c>
      <c r="L187" t="str">
        <f>IF(
K187,"p["""&amp;B187&amp;"""].update({"&amp;""""&amp;C187&amp;""":{"&amp;_xlfn.CONCAT(N187:T187)&amp;"}})","p.update("&amp;M187&amp;")"
)</f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>"{"&amp;""""&amp;B187
&amp;""":{"&amp;""""&amp;C187&amp;""":{"&amp;_xlfn.CONCAT(N187:T187)&amp;"}}}"</f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13"/>
        <v>"type":"string",</v>
      </c>
      <c r="O187" t="str">
        <f t="shared" si="14"/>
        <v>"subtype":"string",</v>
      </c>
      <c r="P187" t="str">
        <f t="shared" si="15"/>
        <v>"indent":2,</v>
      </c>
      <c r="Q187" t="str">
        <f t="shared" si="19"/>
        <v>"default_value":"",</v>
      </c>
      <c r="R187" t="str">
        <f t="shared" si="16"/>
        <v>"docs_url":"https://looker.com/docs/r/lookml/types/filter/suggest_persist_for?version=7.14&amp;lookml=new",</v>
      </c>
      <c r="S187" t="str">
        <f t="shared" si="17"/>
        <v>"has_allowed_values":False,</v>
      </c>
      <c r="T187" t="str">
        <f t="shared" si="18"/>
        <v>"allowed_values":""</v>
      </c>
    </row>
    <row r="188" spans="1:20" ht="13" x14ac:dyDescent="0.15">
      <c r="A188" s="7">
        <v>201</v>
      </c>
      <c r="B188" s="6" t="s">
        <v>34</v>
      </c>
      <c r="C188" s="6" t="s">
        <v>124</v>
      </c>
      <c r="D188" s="4" t="s">
        <v>613</v>
      </c>
      <c r="E188" s="4" t="s">
        <v>34</v>
      </c>
      <c r="F188" s="4">
        <v>2</v>
      </c>
      <c r="G188" s="4" t="s">
        <v>592</v>
      </c>
      <c r="H188" s="4" t="s">
        <v>324</v>
      </c>
      <c r="I188" s="4" t="b">
        <v>0</v>
      </c>
      <c r="K188" s="4" t="b">
        <f>IF(COUNTIF($B$2:$B188,B188)&gt;1,TRUE,FALSE)</f>
        <v>1</v>
      </c>
      <c r="L188" t="str">
        <f>IF(
K188,"p["""&amp;B188&amp;"""].update({"&amp;""""&amp;C188&amp;""":{"&amp;_xlfn.CONCAT(N188:T188)&amp;"}})","p.update("&amp;M188&amp;")"
)</f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>"{"&amp;""""&amp;B188
&amp;""":{"&amp;""""&amp;C188&amp;""":{"&amp;_xlfn.CONCAT(N188:T188)&amp;"}}}"</f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13"/>
        <v>"type":"sql",</v>
      </c>
      <c r="O188" t="str">
        <f t="shared" si="14"/>
        <v>"subtype":"sql-block ",</v>
      </c>
      <c r="P188" t="str">
        <f t="shared" si="15"/>
        <v>"indent":2,</v>
      </c>
      <c r="Q188" t="str">
        <f t="shared" si="19"/>
        <v>"default_value":"",</v>
      </c>
      <c r="R188" t="str">
        <f t="shared" si="16"/>
        <v>"docs_url":"https://looker.com/docs/r/lookml/types/filter/sql?version=7.14&amp;lookml=new",</v>
      </c>
      <c r="S188" t="str">
        <f t="shared" si="17"/>
        <v>"has_allowed_values":False,</v>
      </c>
      <c r="T188" t="str">
        <f t="shared" si="18"/>
        <v>"allowed_values":""</v>
      </c>
    </row>
    <row r="189" spans="1:20" ht="13" x14ac:dyDescent="0.15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596</v>
      </c>
      <c r="F189" s="4">
        <v>2</v>
      </c>
      <c r="H189" s="4" t="s">
        <v>325</v>
      </c>
      <c r="I189" s="4" t="b">
        <v>0</v>
      </c>
      <c r="K189" s="4" t="b">
        <f>IF(COUNTIF($B$2:$B189,B189)&gt;1,TRUE,FALSE)</f>
        <v>1</v>
      </c>
      <c r="L189" t="str">
        <f>IF(
K189,"p["""&amp;B189&amp;"""].update({"&amp;""""&amp;C189&amp;""":{"&amp;_xlfn.CONCAT(N189:T189)&amp;"}})","p.update("&amp;M189&amp;")"
)</f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>"{"&amp;""""&amp;B189
&amp;""":{"&amp;""""&amp;C189&amp;""":{"&amp;_xlfn.CONCAT(N189:T189)&amp;"}}}"</f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13"/>
        <v>"type":"list_unquoted",</v>
      </c>
      <c r="O189" t="str">
        <f t="shared" si="14"/>
        <v>"subtype":"identifier",</v>
      </c>
      <c r="P189" t="str">
        <f t="shared" si="15"/>
        <v>"indent":2,</v>
      </c>
      <c r="Q189" t="str">
        <f t="shared" si="19"/>
        <v>"default_value":"",</v>
      </c>
      <c r="R189" t="str">
        <f t="shared" si="16"/>
        <v>"docs_url":"https://looker.com/docs/r/lookml/types/filter/alias?version=7.14&amp;lookml=new",</v>
      </c>
      <c r="S189" t="str">
        <f t="shared" si="17"/>
        <v>"has_allowed_values":False,</v>
      </c>
      <c r="T189" t="str">
        <f t="shared" si="18"/>
        <v>"allowed_values":""</v>
      </c>
    </row>
    <row r="190" spans="1:20" ht="13" x14ac:dyDescent="0.15">
      <c r="A190" s="7">
        <v>203</v>
      </c>
      <c r="B190" s="6" t="s">
        <v>9</v>
      </c>
      <c r="C190" s="6" t="s">
        <v>124</v>
      </c>
      <c r="D190" s="4" t="s">
        <v>569</v>
      </c>
      <c r="E190" s="4" t="s">
        <v>569</v>
      </c>
      <c r="F190" s="4">
        <v>2</v>
      </c>
      <c r="G190" s="4" t="s">
        <v>605</v>
      </c>
      <c r="H190" s="4" t="s">
        <v>326</v>
      </c>
      <c r="I190" s="4" t="b">
        <v>0</v>
      </c>
      <c r="K190" s="4" t="b">
        <f>IF(COUNTIF($B$2:$B190,B190)&gt;1,TRUE,FALSE)</f>
        <v>1</v>
      </c>
      <c r="L190" t="str">
        <f>IF(
K190,"p["""&amp;B190&amp;"""].update({"&amp;""""&amp;C190&amp;""":{"&amp;_xlfn.CONCAT(N190:T190)&amp;"}})","p.update("&amp;M190&amp;")"
)</f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>"{"&amp;""""&amp;B190
&amp;""":{"&amp;""""&amp;C190&amp;""":{"&amp;_xlfn.CONCAT(N190:T190)&amp;"}}}"</f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13"/>
        <v>"type":"yesno",</v>
      </c>
      <c r="O190" t="str">
        <f t="shared" si="14"/>
        <v>"subtype":"yesno",</v>
      </c>
      <c r="P190" t="str">
        <f t="shared" si="15"/>
        <v>"indent":2,</v>
      </c>
      <c r="Q190" t="str">
        <f t="shared" si="19"/>
        <v>"default_value":"yes",</v>
      </c>
      <c r="R190" t="str">
        <f t="shared" si="16"/>
        <v>"docs_url":"https://looker.com/docs/r/lookml/types/filter/convert_tz?version=7.14&amp;lookml=new",</v>
      </c>
      <c r="S190" t="str">
        <f t="shared" si="17"/>
        <v>"has_allowed_values":False,</v>
      </c>
      <c r="T190" t="str">
        <f t="shared" si="18"/>
        <v>"allowed_values":""</v>
      </c>
    </row>
    <row r="191" spans="1:20" ht="13" x14ac:dyDescent="0.15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592</v>
      </c>
      <c r="H191" s="4" t="s">
        <v>327</v>
      </c>
      <c r="I191" s="4" t="b">
        <v>0</v>
      </c>
      <c r="K191" s="4" t="b">
        <f>IF(COUNTIF($B$2:$B191,B191)&gt;1,TRUE,FALSE)</f>
        <v>1</v>
      </c>
      <c r="L191" t="str">
        <f>IF(
K191,"p["""&amp;B191&amp;"""].update({"&amp;""""&amp;C191&amp;""":{"&amp;_xlfn.CONCAT(N191:T191)&amp;"}})","p.update("&amp;M191&amp;")"
)</f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>"{"&amp;""""&amp;B191
&amp;""":{"&amp;""""&amp;C191&amp;""":{"&amp;_xlfn.CONCAT(N191:T191)&amp;"}}}"</f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13"/>
        <v>"type":"string",</v>
      </c>
      <c r="O191" t="str">
        <f t="shared" si="14"/>
        <v>"subtype":"possibly-localized-string",</v>
      </c>
      <c r="P191" t="str">
        <f t="shared" si="15"/>
        <v>"indent":2,</v>
      </c>
      <c r="Q191" t="str">
        <f t="shared" si="19"/>
        <v>"default_value":"",</v>
      </c>
      <c r="R191" t="str">
        <f t="shared" si="16"/>
        <v>"docs_url":"https://looker.com/docs/r/lookml/types/filter/description?version=7.14&amp;lookml=new",</v>
      </c>
      <c r="S191" t="str">
        <f t="shared" si="17"/>
        <v>"has_allowed_values":False,</v>
      </c>
      <c r="T191" t="str">
        <f t="shared" si="18"/>
        <v>"allowed_values":""</v>
      </c>
    </row>
    <row r="192" spans="1:20" ht="13" x14ac:dyDescent="0.15">
      <c r="A192" s="7">
        <v>205</v>
      </c>
      <c r="B192" s="6" t="s">
        <v>21</v>
      </c>
      <c r="C192" s="6" t="s">
        <v>124</v>
      </c>
      <c r="D192" s="4" t="s">
        <v>569</v>
      </c>
      <c r="E192" s="4" t="s">
        <v>569</v>
      </c>
      <c r="F192" s="4">
        <v>2</v>
      </c>
      <c r="G192" s="4" t="s">
        <v>604</v>
      </c>
      <c r="H192" s="4" t="s">
        <v>328</v>
      </c>
      <c r="I192" s="4" t="b">
        <v>0</v>
      </c>
      <c r="K192" s="4" t="b">
        <f>IF(COUNTIF($B$2:$B192,B192)&gt;1,TRUE,FALSE)</f>
        <v>1</v>
      </c>
      <c r="L192" t="str">
        <f>IF(
K192,"p["""&amp;B192&amp;"""].update({"&amp;""""&amp;C192&amp;""":{"&amp;_xlfn.CONCAT(N192:T192)&amp;"}})","p.update("&amp;M192&amp;")"
)</f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>"{"&amp;""""&amp;B192
&amp;""":{"&amp;""""&amp;C192&amp;""":{"&amp;_xlfn.CONCAT(N192:T192)&amp;"}}}"</f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13"/>
        <v>"type":"yesno",</v>
      </c>
      <c r="O192" t="str">
        <f t="shared" si="14"/>
        <v>"subtype":"yesno",</v>
      </c>
      <c r="P192" t="str">
        <f t="shared" si="15"/>
        <v>"indent":2,</v>
      </c>
      <c r="Q192" t="str">
        <f t="shared" si="19"/>
        <v>"default_value":"no",</v>
      </c>
      <c r="R192" t="str">
        <f t="shared" si="16"/>
        <v>"docs_url":"https://looker.com/docs/r/lookml/types/filter/hidden?version=7.14&amp;lookml=new",</v>
      </c>
      <c r="S192" t="str">
        <f t="shared" si="17"/>
        <v>"has_allowed_values":False,</v>
      </c>
      <c r="T192" t="str">
        <f t="shared" si="18"/>
        <v>"allowed_values":""</v>
      </c>
    </row>
    <row r="193" spans="1:20" ht="13" x14ac:dyDescent="0.15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592</v>
      </c>
      <c r="H193" s="4" t="s">
        <v>329</v>
      </c>
      <c r="I193" s="4" t="b">
        <v>0</v>
      </c>
      <c r="K193" s="4" t="b">
        <f>IF(COUNTIF($B$2:$B193,B193)&gt;1,TRUE,FALSE)</f>
        <v>1</v>
      </c>
      <c r="L193" t="str">
        <f>IF(
K193,"p["""&amp;B193&amp;"""].update({"&amp;""""&amp;C193&amp;""":{"&amp;_xlfn.CONCAT(N193:T193)&amp;"}})","p.update("&amp;M193&amp;")"
)</f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>"{"&amp;""""&amp;B193
&amp;""":{"&amp;""""&amp;C193&amp;""":{"&amp;_xlfn.CONCAT(N193:T193)&amp;"}}}"</f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13"/>
        <v>"type":"string",</v>
      </c>
      <c r="O193" t="str">
        <f t="shared" si="14"/>
        <v>"subtype":"possibly-localized-string",</v>
      </c>
      <c r="P193" t="str">
        <f t="shared" si="15"/>
        <v>"indent":2,</v>
      </c>
      <c r="Q193" t="str">
        <f t="shared" si="19"/>
        <v>"default_value":"",</v>
      </c>
      <c r="R193" t="str">
        <f t="shared" si="16"/>
        <v>"docs_url":"https://looker.com/docs/r/lookml/types/filter/label?version=7.14&amp;lookml=new",</v>
      </c>
      <c r="S193" t="str">
        <f t="shared" si="17"/>
        <v>"has_allowed_values":False,</v>
      </c>
      <c r="T193" t="str">
        <f t="shared" si="18"/>
        <v>"allowed_values":""</v>
      </c>
    </row>
    <row r="194" spans="1:20" ht="13" x14ac:dyDescent="0.15">
      <c r="A194" s="7">
        <v>207</v>
      </c>
      <c r="B194" s="6" t="s">
        <v>31</v>
      </c>
      <c r="C194" s="6" t="s">
        <v>124</v>
      </c>
      <c r="D194" s="4" t="s">
        <v>612</v>
      </c>
      <c r="E194" s="4" t="s">
        <v>596</v>
      </c>
      <c r="F194" s="4">
        <v>2</v>
      </c>
      <c r="H194" s="4" t="s">
        <v>330</v>
      </c>
      <c r="I194" s="4" t="b">
        <v>0</v>
      </c>
      <c r="K194" s="4" t="b">
        <f>IF(COUNTIF($B$2:$B194,B194)&gt;1,TRUE,FALSE)</f>
        <v>1</v>
      </c>
      <c r="L194" t="str">
        <f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13"/>
        <v>"type":"list_unquoted",</v>
      </c>
      <c r="O194" t="str">
        <f t="shared" si="14"/>
        <v>"subtype":"access-grant-ref",</v>
      </c>
      <c r="P194" t="str">
        <f t="shared" si="15"/>
        <v>"indent":2,</v>
      </c>
      <c r="Q194" t="str">
        <f t="shared" si="19"/>
        <v>"default_value":"",</v>
      </c>
      <c r="R194" t="str">
        <f t="shared" si="16"/>
        <v>"docs_url":"https://looker.com/docs/r/lookml/types/filter/required_access_grants?version=7.14&amp;lookml=new",</v>
      </c>
      <c r="S194" t="str">
        <f t="shared" si="17"/>
        <v>"has_allowed_values":False,</v>
      </c>
      <c r="T194" t="str">
        <f t="shared" si="18"/>
        <v>"allowed_values":""</v>
      </c>
    </row>
    <row r="195" spans="1:20" ht="13" x14ac:dyDescent="0.15">
      <c r="A195" s="7">
        <v>208</v>
      </c>
      <c r="B195" s="6" t="s">
        <v>45</v>
      </c>
      <c r="C195" s="6" t="s">
        <v>124</v>
      </c>
      <c r="D195" s="4" t="s">
        <v>569</v>
      </c>
      <c r="E195" s="4" t="s">
        <v>569</v>
      </c>
      <c r="F195" s="4">
        <v>2</v>
      </c>
      <c r="G195" s="4" t="s">
        <v>605</v>
      </c>
      <c r="H195" s="4" t="s">
        <v>331</v>
      </c>
      <c r="I195" s="4" t="b">
        <v>0</v>
      </c>
      <c r="K195" s="4" t="b">
        <f>IF(COUNTIF($B$2:$B195,B195)&gt;1,TRUE,FALSE)</f>
        <v>1</v>
      </c>
      <c r="L195" t="str">
        <f>IF(
K195,"p["""&amp;B195&amp;"""].update({"&amp;""""&amp;C195&amp;""":{"&amp;_xlfn.CONCAT(N195:T195)&amp;"}})","p.update("&amp;M195&amp;")"
)</f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>"{"&amp;""""&amp;B195
&amp;""":{"&amp;""""&amp;C195&amp;""":{"&amp;_xlfn.CONCAT(N195:T195)&amp;"}}}"</f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O258" si="20">"""type"":"&amp;""""&amp;E195&amp;""","</f>
        <v>"type":"yesno",</v>
      </c>
      <c r="O195" t="str">
        <f t="shared" ref="O195:O258" si="21">"""subtype"":"&amp;""""&amp;D195&amp;""","</f>
        <v>"subtype":"yesno",</v>
      </c>
      <c r="P195" t="str">
        <f t="shared" ref="P195:P258" si="22">"""indent"":"&amp;F195&amp;","</f>
        <v>"indent":2,</v>
      </c>
      <c r="Q195" t="str">
        <f t="shared" si="19"/>
        <v>"default_value":"yes",</v>
      </c>
      <c r="R195" t="str">
        <f t="shared" ref="R195:R258" si="23">"""docs_url"":"&amp;""""&amp;H195&amp;""","</f>
        <v>"docs_url":"https://looker.com/docs/r/lookml/types/filter/suggestable?version=7.14&amp;lookml=new",</v>
      </c>
      <c r="S195" t="str">
        <f t="shared" ref="S195:S258" si="24">"""has_allowed_values"":"&amp;IF(I195,"True,","False"&amp;",")</f>
        <v>"has_allowed_values":False,</v>
      </c>
      <c r="T195" t="str">
        <f t="shared" ref="T195:T258" si="25">"""allowed_values"":"&amp;IF(J195&lt;&gt;"",J195,"""""")</f>
        <v>"allowed_values":""</v>
      </c>
    </row>
    <row r="196" spans="1:20" ht="13" x14ac:dyDescent="0.15">
      <c r="A196" s="7">
        <v>209</v>
      </c>
      <c r="B196" s="6" t="s">
        <v>47</v>
      </c>
      <c r="C196" s="6" t="s">
        <v>124</v>
      </c>
      <c r="D196" s="4" t="s">
        <v>598</v>
      </c>
      <c r="E196" s="4" t="s">
        <v>598</v>
      </c>
      <c r="F196" s="4">
        <v>2</v>
      </c>
      <c r="H196" s="4" t="s">
        <v>332</v>
      </c>
      <c r="I196" s="4" t="b">
        <v>0</v>
      </c>
      <c r="K196" s="4" t="b">
        <f>IF(COUNTIF($B$2:$B196,B196)&gt;1,TRUE,FALSE)</f>
        <v>1</v>
      </c>
      <c r="L196" t="str">
        <f>IF(
K196,"p["""&amp;B196&amp;"""].update({"&amp;""""&amp;C196&amp;""":{"&amp;_xlfn.CONCAT(N196:T196)&amp;"}})","p.update("&amp;M196&amp;")"
)</f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>"{"&amp;""""&amp;B196
&amp;""":{"&amp;""""&amp;C196&amp;""":{"&amp;_xlfn.CONCAT(N196:T196)&amp;"}}}"</f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20"/>
        <v>"type":"list_quoted",</v>
      </c>
      <c r="O196" t="str">
        <f t="shared" si="21"/>
        <v>"subtype":"list_quoted",</v>
      </c>
      <c r="P196" t="str">
        <f t="shared" si="22"/>
        <v>"indent":2,</v>
      </c>
      <c r="Q196" t="str">
        <f t="shared" si="19"/>
        <v>"default_value":"",</v>
      </c>
      <c r="R196" t="str">
        <f t="shared" si="23"/>
        <v>"docs_url":"https://looker.com/docs/r/lookml/types/filter/tags?version=7.14&amp;lookml=new",</v>
      </c>
      <c r="S196" t="str">
        <f t="shared" si="24"/>
        <v>"has_allowed_values":False,</v>
      </c>
      <c r="T196" t="str">
        <f t="shared" si="25"/>
        <v>"allowed_values":""</v>
      </c>
    </row>
    <row r="197" spans="1:20" ht="13" x14ac:dyDescent="0.15">
      <c r="A197" s="7">
        <v>210</v>
      </c>
      <c r="B197" s="6" t="s">
        <v>49</v>
      </c>
      <c r="C197" s="6" t="s">
        <v>124</v>
      </c>
      <c r="D197" s="4" t="s">
        <v>551</v>
      </c>
      <c r="E197" s="4" t="s">
        <v>551</v>
      </c>
      <c r="F197" s="4">
        <v>2</v>
      </c>
      <c r="G197" s="4" t="s">
        <v>0</v>
      </c>
      <c r="H197" s="4" t="s">
        <v>333</v>
      </c>
      <c r="I197" s="4" t="b">
        <v>1</v>
      </c>
      <c r="J197" s="4" t="s">
        <v>570</v>
      </c>
      <c r="K197" s="4" t="b">
        <f>IF(COUNTIF($B$2:$B197,B197)&gt;1,TRUE,FALSE)</f>
        <v>1</v>
      </c>
      <c r="L197" t="str">
        <f>IF(
K197,"p["""&amp;B197&amp;"""].update({"&amp;""""&amp;C197&amp;""":{"&amp;_xlfn.CONCAT(N197:T197)&amp;"}})","p.update("&amp;M197&amp;")"
)</f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>"{"&amp;""""&amp;B197
&amp;""":{"&amp;""""&amp;C197&amp;""":{"&amp;_xlfn.CONCAT(N197:T197)&amp;"}}}"</f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20"/>
        <v>"type":"options",</v>
      </c>
      <c r="O197" t="str">
        <f t="shared" si="21"/>
        <v>"subtype":"options",</v>
      </c>
      <c r="P197" t="str">
        <f t="shared" si="22"/>
        <v>"indent":2,</v>
      </c>
      <c r="Q197" t="str">
        <f t="shared" si="19"/>
        <v>"default_value":"string",</v>
      </c>
      <c r="R197" t="str">
        <f t="shared" si="23"/>
        <v>"docs_url":"https://looker.com/docs/r/lookml/types/filter/type?version=7.14&amp;lookml=new",</v>
      </c>
      <c r="S197" t="str">
        <f t="shared" si="24"/>
        <v>"has_allowed_values":True,</v>
      </c>
      <c r="T197" t="str">
        <f t="shared" si="25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x14ac:dyDescent="0.15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599</v>
      </c>
      <c r="F198" s="4">
        <v>2</v>
      </c>
      <c r="H198" s="4" t="s">
        <v>334</v>
      </c>
      <c r="I198" s="4" t="b">
        <v>0</v>
      </c>
      <c r="K198" s="4" t="b">
        <f>IF(COUNTIF($B$2:$B198,B198)&gt;1,TRUE,FALSE)</f>
        <v>1</v>
      </c>
      <c r="L198" t="str">
        <f>IF(
K198,"p["""&amp;B198&amp;"""].update({"&amp;""""&amp;C198&amp;""":{"&amp;_xlfn.CONCAT(N198:T198)&amp;"}})","p.update("&amp;M198&amp;")"
)</f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>"{"&amp;""""&amp;B198
&amp;""":{"&amp;""""&amp;C198&amp;""":{"&amp;_xlfn.CONCAT(N198:T198)&amp;"}}}"</f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20"/>
        <v>"type":"string_unquoted",</v>
      </c>
      <c r="O198" t="str">
        <f t="shared" si="21"/>
        <v>"subtype":"field-ref",</v>
      </c>
      <c r="P198" t="str">
        <f t="shared" si="22"/>
        <v>"indent":2,</v>
      </c>
      <c r="Q198" t="str">
        <f t="shared" si="19"/>
        <v>"default_value":"",</v>
      </c>
      <c r="R198" t="str">
        <f t="shared" si="23"/>
        <v>"docs_url":"https://looker.com/docs/r/lookml/types/filter/suggest_dimension?version=7.14&amp;lookml=new",</v>
      </c>
      <c r="S198" t="str">
        <f t="shared" si="24"/>
        <v>"has_allowed_values":False,</v>
      </c>
      <c r="T198" t="str">
        <f t="shared" si="25"/>
        <v>"allowed_values":""</v>
      </c>
    </row>
    <row r="199" spans="1:20" ht="13" x14ac:dyDescent="0.15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599</v>
      </c>
      <c r="F199" s="4">
        <v>2</v>
      </c>
      <c r="H199" s="4" t="s">
        <v>335</v>
      </c>
      <c r="I199" s="4" t="b">
        <v>0</v>
      </c>
      <c r="K199" s="4" t="b">
        <f>IF(COUNTIF($B$2:$B199,B199)&gt;1,TRUE,FALSE)</f>
        <v>1</v>
      </c>
      <c r="L199" t="str">
        <f>IF(
K199,"p["""&amp;B199&amp;"""].update({"&amp;""""&amp;C199&amp;""":{"&amp;_xlfn.CONCAT(N199:T199)&amp;"}})","p.update("&amp;M199&amp;")"
)</f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>"{"&amp;""""&amp;B199
&amp;""":{"&amp;""""&amp;C199&amp;""":{"&amp;_xlfn.CONCAT(N199:T199)&amp;"}}}"</f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20"/>
        <v>"type":"string_unquoted",</v>
      </c>
      <c r="O199" t="str">
        <f t="shared" si="21"/>
        <v>"subtype":"explore-ref",</v>
      </c>
      <c r="P199" t="str">
        <f t="shared" si="22"/>
        <v>"indent":2,</v>
      </c>
      <c r="Q199" t="str">
        <f t="shared" si="19"/>
        <v>"default_value":"",</v>
      </c>
      <c r="R199" t="str">
        <f t="shared" si="23"/>
        <v>"docs_url":"https://looker.com/docs/r/lookml/types/filter/suggest_explore?version=7.14&amp;lookml=new",</v>
      </c>
      <c r="S199" t="str">
        <f t="shared" si="24"/>
        <v>"has_allowed_values":False,</v>
      </c>
      <c r="T199" t="str">
        <f t="shared" si="25"/>
        <v>"allowed_values":""</v>
      </c>
    </row>
    <row r="200" spans="1:20" ht="13" x14ac:dyDescent="0.15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592</v>
      </c>
      <c r="H200" s="4" t="s">
        <v>336</v>
      </c>
      <c r="I200" s="4" t="b">
        <v>0</v>
      </c>
      <c r="K200" s="4" t="b">
        <f>IF(COUNTIF($B$2:$B200,B200)&gt;1,TRUE,FALSE)</f>
        <v>1</v>
      </c>
      <c r="L200" t="str">
        <f>IF(
K200,"p["""&amp;B200&amp;"""].update({"&amp;""""&amp;C200&amp;""":{"&amp;_xlfn.CONCAT(N200:T200)&amp;"}})","p.update("&amp;M200&amp;")"
)</f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>"{"&amp;""""&amp;B200
&amp;""":{"&amp;""""&amp;C200&amp;""":{"&amp;_xlfn.CONCAT(N200:T200)&amp;"}}}"</f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20"/>
        <v>"type":"string",</v>
      </c>
      <c r="O200" t="str">
        <f t="shared" si="21"/>
        <v>"subtype":"possibly-localized-string",</v>
      </c>
      <c r="P200" t="str">
        <f t="shared" si="22"/>
        <v>"indent":2,</v>
      </c>
      <c r="Q200" t="str">
        <f t="shared" si="19"/>
        <v>"default_value":"",</v>
      </c>
      <c r="R200" t="str">
        <f t="shared" si="23"/>
        <v>"docs_url":"https://looker.com/docs/r/lookml/types/filter/view_label?version=7.14&amp;lookml=new",</v>
      </c>
      <c r="S200" t="str">
        <f t="shared" si="24"/>
        <v>"has_allowed_values":False,</v>
      </c>
      <c r="T200" t="str">
        <f t="shared" si="25"/>
        <v>"allowed_values":""</v>
      </c>
    </row>
    <row r="201" spans="1:20" ht="13" x14ac:dyDescent="0.15">
      <c r="A201" s="7">
        <v>216</v>
      </c>
      <c r="B201" s="6" t="s">
        <v>486</v>
      </c>
      <c r="C201" s="6" t="s">
        <v>125</v>
      </c>
      <c r="D201" s="4" t="s">
        <v>541</v>
      </c>
      <c r="E201" s="4" t="s">
        <v>541</v>
      </c>
      <c r="F201" s="4">
        <v>2</v>
      </c>
      <c r="H201" s="4" t="s">
        <v>337</v>
      </c>
      <c r="I201" s="4" t="b">
        <v>0</v>
      </c>
      <c r="K201" s="4" t="b">
        <f>IF(COUNTIF($B$2:$B201,B201)&gt;1,TRUE,FALSE)</f>
        <v>0</v>
      </c>
      <c r="L201" t="str">
        <f>IF(
K201,"p["""&amp;B201&amp;"""].update({"&amp;""""&amp;C201&amp;""":{"&amp;_xlfn.CONCAT(N201:T201)&amp;"}})","p.update("&amp;M201&amp;")"
)</f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>"{"&amp;""""&amp;B201
&amp;""":{"&amp;""""&amp;C201&amp;""":{"&amp;_xlfn.CONCAT(N201:T201)&amp;"}}}"</f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20"/>
        <v>"type":"anonymous_construct_plural",</v>
      </c>
      <c r="O201" t="str">
        <f t="shared" si="21"/>
        <v>"subtype":"anonymous_construct_plural",</v>
      </c>
      <c r="P201" t="str">
        <f t="shared" si="22"/>
        <v>"indent":2,</v>
      </c>
      <c r="Q201" t="str">
        <f t="shared" si="19"/>
        <v>"default_value":"",</v>
      </c>
      <c r="R201" t="str">
        <f t="shared" si="23"/>
        <v>"docs_url":"https://looker.com/docs/r/lookml/types/parameter/allowed_value?version=7.14&amp;lookml=new",</v>
      </c>
      <c r="S201" t="str">
        <f t="shared" si="24"/>
        <v>"has_allowed_values":False,</v>
      </c>
      <c r="T201" t="str">
        <f t="shared" si="25"/>
        <v>"allowed_values":""</v>
      </c>
    </row>
    <row r="202" spans="1:20" ht="13" x14ac:dyDescent="0.15">
      <c r="A202" s="7">
        <v>217</v>
      </c>
      <c r="B202" s="6" t="s">
        <v>5</v>
      </c>
      <c r="C202" s="6" t="s">
        <v>125</v>
      </c>
      <c r="D202" s="4" t="s">
        <v>569</v>
      </c>
      <c r="E202" s="4" t="s">
        <v>569</v>
      </c>
      <c r="F202" s="4">
        <v>2</v>
      </c>
      <c r="G202" s="4" t="s">
        <v>604</v>
      </c>
      <c r="H202" s="4" t="s">
        <v>338</v>
      </c>
      <c r="I202" s="4" t="b">
        <v>0</v>
      </c>
      <c r="K202" s="4" t="b">
        <f>IF(COUNTIF($B$2:$B202,B202)&gt;1,TRUE,FALSE)</f>
        <v>1</v>
      </c>
      <c r="L202" t="str">
        <f>IF(
K202,"p["""&amp;B202&amp;"""].update({"&amp;""""&amp;C202&amp;""":{"&amp;_xlfn.CONCAT(N202:T202)&amp;"}})","p.update("&amp;M202&amp;")"
)</f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>"{"&amp;""""&amp;B202
&amp;""":{"&amp;""""&amp;C202&amp;""":{"&amp;_xlfn.CONCAT(N202:T202)&amp;"}}}"</f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20"/>
        <v>"type":"yesno",</v>
      </c>
      <c r="O202" t="str">
        <f t="shared" si="21"/>
        <v>"subtype":"yesno",</v>
      </c>
      <c r="P202" t="str">
        <f t="shared" si="22"/>
        <v>"indent":2,</v>
      </c>
      <c r="Q202" t="str">
        <f t="shared" si="19"/>
        <v>"default_value":"no",</v>
      </c>
      <c r="R202" t="str">
        <f t="shared" si="23"/>
        <v>"docs_url":"https://looker.com/docs/r/lookml/types/parameter/bypass_suggest_restrictions?version=7.14&amp;lookml=new",</v>
      </c>
      <c r="S202" t="str">
        <f t="shared" si="24"/>
        <v>"has_allowed_values":False,</v>
      </c>
      <c r="T202" t="str">
        <f t="shared" si="25"/>
        <v>"allowed_values":""</v>
      </c>
    </row>
    <row r="203" spans="1:20" ht="13" x14ac:dyDescent="0.15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592</v>
      </c>
      <c r="H203" s="4" t="s">
        <v>339</v>
      </c>
      <c r="I203" s="4" t="b">
        <v>0</v>
      </c>
      <c r="K203" s="4" t="b">
        <f>IF(COUNTIF($B$2:$B203,B203)&gt;1,TRUE,FALSE)</f>
        <v>1</v>
      </c>
      <c r="L203" t="str">
        <f>IF(
K203,"p["""&amp;B203&amp;"""].update({"&amp;""""&amp;C203&amp;""":{"&amp;_xlfn.CONCAT(N203:T203)&amp;"}})","p.update("&amp;M203&amp;")"
)</f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>"{"&amp;""""&amp;B203
&amp;""":{"&amp;""""&amp;C203&amp;""":{"&amp;_xlfn.CONCAT(N203:T203)&amp;"}}}"</f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20"/>
        <v>"type":"string",</v>
      </c>
      <c r="O203" t="str">
        <f t="shared" si="21"/>
        <v>"subtype":"string",</v>
      </c>
      <c r="P203" t="str">
        <f t="shared" si="22"/>
        <v>"indent":2,</v>
      </c>
      <c r="Q203" t="str">
        <f t="shared" si="19"/>
        <v>"default_value":"",</v>
      </c>
      <c r="R203" t="str">
        <f t="shared" si="23"/>
        <v>"docs_url":"https://looker.com/docs/r/lookml/types/parameter/default_value?version=7.14&amp;lookml=new",</v>
      </c>
      <c r="S203" t="str">
        <f t="shared" si="24"/>
        <v>"has_allowed_values":False,</v>
      </c>
      <c r="T203" t="str">
        <f t="shared" si="25"/>
        <v>"allowed_values":""</v>
      </c>
    </row>
    <row r="204" spans="1:20" ht="13" x14ac:dyDescent="0.15">
      <c r="A204" s="7">
        <v>219</v>
      </c>
      <c r="B204" s="6" t="s">
        <v>18</v>
      </c>
      <c r="C204" s="6" t="s">
        <v>125</v>
      </c>
      <c r="D204" s="4" t="s">
        <v>569</v>
      </c>
      <c r="E204" s="4" t="s">
        <v>569</v>
      </c>
      <c r="F204" s="4">
        <v>2</v>
      </c>
      <c r="G204" s="4" t="s">
        <v>605</v>
      </c>
      <c r="H204" s="4" t="s">
        <v>340</v>
      </c>
      <c r="I204" s="4" t="b">
        <v>0</v>
      </c>
      <c r="K204" s="4" t="b">
        <f>IF(COUNTIF($B$2:$B204,B204)&gt;1,TRUE,FALSE)</f>
        <v>1</v>
      </c>
      <c r="L204" t="str">
        <f>IF(
K204,"p["""&amp;B204&amp;"""].update({"&amp;""""&amp;C204&amp;""":{"&amp;_xlfn.CONCAT(N204:T204)&amp;"}})","p.update("&amp;M204&amp;")"
)</f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>"{"&amp;""""&amp;B204
&amp;""":{"&amp;""""&amp;C204&amp;""":{"&amp;_xlfn.CONCAT(N204:T204)&amp;"}}}"</f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20"/>
        <v>"type":"yesno",</v>
      </c>
      <c r="O204" t="str">
        <f t="shared" si="21"/>
        <v>"subtype":"yesno",</v>
      </c>
      <c r="P204" t="str">
        <f t="shared" si="22"/>
        <v>"indent":2,</v>
      </c>
      <c r="Q204" t="str">
        <f t="shared" ref="Q204:Q267" si="26">"""default_value"":"&amp;IF(G204="""""",""""",",IF(LEFT(G204,1)="[",G204,""""&amp;G204&amp;"""")&amp;",")</f>
        <v>"default_value":"yes",</v>
      </c>
      <c r="R204" t="str">
        <f t="shared" si="23"/>
        <v>"docs_url":"https://looker.com/docs/r/lookml/types/parameter/full_suggestions?version=7.14&amp;lookml=new",</v>
      </c>
      <c r="S204" t="str">
        <f t="shared" si="24"/>
        <v>"has_allowed_values":False,</v>
      </c>
      <c r="T204" t="str">
        <f t="shared" si="25"/>
        <v>"allowed_values":""</v>
      </c>
    </row>
    <row r="205" spans="1:20" ht="13" x14ac:dyDescent="0.15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592</v>
      </c>
      <c r="H205" s="4" t="s">
        <v>341</v>
      </c>
      <c r="I205" s="4" t="b">
        <v>0</v>
      </c>
      <c r="K205" s="4" t="b">
        <f>IF(COUNTIF($B$2:$B205,B205)&gt;1,TRUE,FALSE)</f>
        <v>1</v>
      </c>
      <c r="L205" t="str">
        <f>IF(
K205,"p["""&amp;B205&amp;"""].update({"&amp;""""&amp;C205&amp;""":{"&amp;_xlfn.CONCAT(N205:T205)&amp;"}})","p.update("&amp;M205&amp;")"
)</f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>"{"&amp;""""&amp;B205
&amp;""":{"&amp;""""&amp;C205&amp;""":{"&amp;_xlfn.CONCAT(N205:T205)&amp;"}}}"</f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20"/>
        <v>"type":"string",</v>
      </c>
      <c r="O205" t="str">
        <f t="shared" si="21"/>
        <v>"subtype":"possibly-localized-string",</v>
      </c>
      <c r="P205" t="str">
        <f t="shared" si="22"/>
        <v>"indent":2,</v>
      </c>
      <c r="Q205" t="str">
        <f t="shared" si="26"/>
        <v>"default_value":"",</v>
      </c>
      <c r="R205" t="str">
        <f t="shared" si="23"/>
        <v>"docs_url":"https://looker.com/docs/r/lookml/types/parameter/group_label?version=7.14&amp;lookml=new",</v>
      </c>
      <c r="S205" t="str">
        <f t="shared" si="24"/>
        <v>"has_allowed_values":False,</v>
      </c>
      <c r="T205" t="str">
        <f t="shared" si="25"/>
        <v>"allowed_values":""</v>
      </c>
    </row>
    <row r="206" spans="1:20" ht="13" x14ac:dyDescent="0.15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592</v>
      </c>
      <c r="H206" s="4" t="s">
        <v>342</v>
      </c>
      <c r="I206" s="4" t="b">
        <v>0</v>
      </c>
      <c r="K206" s="4" t="b">
        <f>IF(COUNTIF($B$2:$B206,B206)&gt;1,TRUE,FALSE)</f>
        <v>1</v>
      </c>
      <c r="L206" t="str">
        <f>IF(
K206,"p["""&amp;B206&amp;"""].update({"&amp;""""&amp;C206&amp;""":{"&amp;_xlfn.CONCAT(N206:T206)&amp;"}})","p.update("&amp;M206&amp;")"
)</f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>"{"&amp;""""&amp;B206
&amp;""":{"&amp;""""&amp;C206&amp;""":{"&amp;_xlfn.CONCAT(N206:T206)&amp;"}}}"</f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20"/>
        <v>"type":"string",</v>
      </c>
      <c r="O206" t="str">
        <f t="shared" si="21"/>
        <v>"subtype":"possibly-localized-string",</v>
      </c>
      <c r="P206" t="str">
        <f t="shared" si="22"/>
        <v>"indent":2,</v>
      </c>
      <c r="Q206" t="str">
        <f t="shared" si="26"/>
        <v>"default_value":"",</v>
      </c>
      <c r="R206" t="str">
        <f t="shared" si="23"/>
        <v>"docs_url":"https://looker.com/docs/r/lookml/types/parameter/group_item_label?version=7.14&amp;lookml=new",</v>
      </c>
      <c r="S206" t="str">
        <f t="shared" si="24"/>
        <v>"has_allowed_values":False,</v>
      </c>
      <c r="T206" t="str">
        <f t="shared" si="25"/>
        <v>"allowed_values":""</v>
      </c>
    </row>
    <row r="207" spans="1:20" ht="13" x14ac:dyDescent="0.15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596</v>
      </c>
      <c r="F207" s="4">
        <v>2</v>
      </c>
      <c r="H207" s="4" t="s">
        <v>343</v>
      </c>
      <c r="I207" s="4" t="b">
        <v>0</v>
      </c>
      <c r="K207" s="4" t="b">
        <f>IF(COUNTIF($B$2:$B207,B207)&gt;1,TRUE,FALSE)</f>
        <v>1</v>
      </c>
      <c r="L207" t="str">
        <f>IF(
K207,"p["""&amp;B207&amp;"""].update({"&amp;""""&amp;C207&amp;""":{"&amp;_xlfn.CONCAT(N207:T207)&amp;"}})","p.update("&amp;M207&amp;")"
)</f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>"{"&amp;""""&amp;B207
&amp;""":{"&amp;""""&amp;C207&amp;""":{"&amp;_xlfn.CONCAT(N207:T207)&amp;"}}}"</f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20"/>
        <v>"type":"list_unquoted",</v>
      </c>
      <c r="O207" t="str">
        <f t="shared" si="21"/>
        <v>"subtype":"field-ref",</v>
      </c>
      <c r="P207" t="str">
        <f t="shared" si="22"/>
        <v>"indent":2,</v>
      </c>
      <c r="Q207" t="str">
        <f t="shared" si="26"/>
        <v>"default_value":"",</v>
      </c>
      <c r="R207" t="str">
        <f t="shared" si="23"/>
        <v>"docs_url":"https://looker.com/docs/r/lookml/types/parameter/required_fields?version=7.14&amp;lookml=new",</v>
      </c>
      <c r="S207" t="str">
        <f t="shared" si="24"/>
        <v>"has_allowed_values":False,</v>
      </c>
      <c r="T207" t="str">
        <f t="shared" si="25"/>
        <v>"allowed_values":""</v>
      </c>
    </row>
    <row r="208" spans="1:20" ht="13" x14ac:dyDescent="0.15">
      <c r="A208" s="7">
        <v>223</v>
      </c>
      <c r="B208" s="6" t="s">
        <v>46</v>
      </c>
      <c r="C208" s="6" t="s">
        <v>125</v>
      </c>
      <c r="D208" s="4" t="s">
        <v>598</v>
      </c>
      <c r="E208" s="4" t="s">
        <v>598</v>
      </c>
      <c r="F208" s="4">
        <v>2</v>
      </c>
      <c r="H208" s="4" t="s">
        <v>344</v>
      </c>
      <c r="I208" s="4" t="b">
        <v>0</v>
      </c>
      <c r="K208" s="4" t="b">
        <f>IF(COUNTIF($B$2:$B208,B208)&gt;1,TRUE,FALSE)</f>
        <v>1</v>
      </c>
      <c r="L208" t="str">
        <f>IF(
K208,"p["""&amp;B208&amp;"""].update({"&amp;""""&amp;C208&amp;""":{"&amp;_xlfn.CONCAT(N208:T208)&amp;"}})","p.update("&amp;M208&amp;")"
)</f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>"{"&amp;""""&amp;B208
&amp;""":{"&amp;""""&amp;C208&amp;""":{"&amp;_xlfn.CONCAT(N208:T208)&amp;"}}}"</f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20"/>
        <v>"type":"list_quoted",</v>
      </c>
      <c r="O208" t="str">
        <f t="shared" si="21"/>
        <v>"subtype":"list_quoted",</v>
      </c>
      <c r="P208" t="str">
        <f t="shared" si="22"/>
        <v>"indent":2,</v>
      </c>
      <c r="Q208" t="str">
        <f t="shared" si="26"/>
        <v>"default_value":"",</v>
      </c>
      <c r="R208" t="str">
        <f t="shared" si="23"/>
        <v>"docs_url":"https://looker.com/docs/r/lookml/types/parameter/suggestions?version=7.14&amp;lookml=new",</v>
      </c>
      <c r="S208" t="str">
        <f t="shared" si="24"/>
        <v>"has_allowed_values":False,</v>
      </c>
      <c r="T208" t="str">
        <f t="shared" si="25"/>
        <v>"allowed_values":""</v>
      </c>
    </row>
    <row r="209" spans="1:20" ht="13" x14ac:dyDescent="0.15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592</v>
      </c>
      <c r="H209" s="4" t="s">
        <v>345</v>
      </c>
      <c r="I209" s="4" t="b">
        <v>0</v>
      </c>
      <c r="K209" s="4" t="b">
        <f>IF(COUNTIF($B$2:$B209,B209)&gt;1,TRUE,FALSE)</f>
        <v>1</v>
      </c>
      <c r="L209" t="str">
        <f>IF(
K209,"p["""&amp;B209&amp;"""].update({"&amp;""""&amp;C209&amp;""":{"&amp;_xlfn.CONCAT(N209:T209)&amp;"}})","p.update("&amp;M209&amp;")"
)</f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>"{"&amp;""""&amp;B209
&amp;""":{"&amp;""""&amp;C209&amp;""":{"&amp;_xlfn.CONCAT(N209:T209)&amp;"}}}"</f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20"/>
        <v>"type":"string",</v>
      </c>
      <c r="O209" t="str">
        <f t="shared" si="21"/>
        <v>"subtype":"string",</v>
      </c>
      <c r="P209" t="str">
        <f t="shared" si="22"/>
        <v>"indent":2,</v>
      </c>
      <c r="Q209" t="str">
        <f t="shared" si="26"/>
        <v>"default_value":"",</v>
      </c>
      <c r="R209" t="str">
        <f t="shared" si="23"/>
        <v>"docs_url":"https://looker.com/docs/r/lookml/types/parameter/suggest_persist_for?version=7.14&amp;lookml=new",</v>
      </c>
      <c r="S209" t="str">
        <f t="shared" si="24"/>
        <v>"has_allowed_values":False,</v>
      </c>
      <c r="T209" t="str">
        <f t="shared" si="25"/>
        <v>"allowed_values":""</v>
      </c>
    </row>
    <row r="210" spans="1:20" ht="13" x14ac:dyDescent="0.15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596</v>
      </c>
      <c r="F210" s="4">
        <v>2</v>
      </c>
      <c r="H210" s="4" t="s">
        <v>346</v>
      </c>
      <c r="I210" s="4" t="b">
        <v>0</v>
      </c>
      <c r="K210" s="4" t="b">
        <f>IF(COUNTIF($B$2:$B210,B210)&gt;1,TRUE,FALSE)</f>
        <v>1</v>
      </c>
      <c r="L210" t="str">
        <f>IF(
K210,"p["""&amp;B210&amp;"""].update({"&amp;""""&amp;C210&amp;""":{"&amp;_xlfn.CONCAT(N210:T210)&amp;"}})","p.update("&amp;M210&amp;")"
)</f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>"{"&amp;""""&amp;B210
&amp;""":{"&amp;""""&amp;C210&amp;""":{"&amp;_xlfn.CONCAT(N210:T210)&amp;"}}}"</f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20"/>
        <v>"type":"list_unquoted",</v>
      </c>
      <c r="O210" t="str">
        <f t="shared" si="21"/>
        <v>"subtype":"identifier",</v>
      </c>
      <c r="P210" t="str">
        <f t="shared" si="22"/>
        <v>"indent":2,</v>
      </c>
      <c r="Q210" t="str">
        <f t="shared" si="26"/>
        <v>"default_value":"",</v>
      </c>
      <c r="R210" t="str">
        <f t="shared" si="23"/>
        <v>"docs_url":"https://looker.com/docs/r/lookml/types/parameter/alias?version=7.14&amp;lookml=new",</v>
      </c>
      <c r="S210" t="str">
        <f t="shared" si="24"/>
        <v>"has_allowed_values":False,</v>
      </c>
      <c r="T210" t="str">
        <f t="shared" si="25"/>
        <v>"allowed_values":""</v>
      </c>
    </row>
    <row r="211" spans="1:20" ht="13" x14ac:dyDescent="0.15">
      <c r="A211" s="7">
        <v>226</v>
      </c>
      <c r="B211" s="6" t="s">
        <v>9</v>
      </c>
      <c r="C211" s="6" t="s">
        <v>125</v>
      </c>
      <c r="D211" s="4" t="s">
        <v>569</v>
      </c>
      <c r="E211" s="4" t="s">
        <v>569</v>
      </c>
      <c r="F211" s="4">
        <v>2</v>
      </c>
      <c r="G211" s="4" t="s">
        <v>605</v>
      </c>
      <c r="H211" s="4" t="s">
        <v>347</v>
      </c>
      <c r="I211" s="4" t="b">
        <v>0</v>
      </c>
      <c r="K211" s="4" t="b">
        <f>IF(COUNTIF($B$2:$B211,B211)&gt;1,TRUE,FALSE)</f>
        <v>1</v>
      </c>
      <c r="L211" t="str">
        <f>IF(
K211,"p["""&amp;B211&amp;"""].update({"&amp;""""&amp;C211&amp;""":{"&amp;_xlfn.CONCAT(N211:T211)&amp;"}})","p.update("&amp;M211&amp;")"
)</f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>"{"&amp;""""&amp;B211
&amp;""":{"&amp;""""&amp;C211&amp;""":{"&amp;_xlfn.CONCAT(N211:T211)&amp;"}}}"</f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20"/>
        <v>"type":"yesno",</v>
      </c>
      <c r="O211" t="str">
        <f t="shared" si="21"/>
        <v>"subtype":"yesno",</v>
      </c>
      <c r="P211" t="str">
        <f t="shared" si="22"/>
        <v>"indent":2,</v>
      </c>
      <c r="Q211" t="str">
        <f t="shared" si="26"/>
        <v>"default_value":"yes",</v>
      </c>
      <c r="R211" t="str">
        <f t="shared" si="23"/>
        <v>"docs_url":"https://looker.com/docs/r/lookml/types/parameter/convert_tz?version=7.14&amp;lookml=new",</v>
      </c>
      <c r="S211" t="str">
        <f t="shared" si="24"/>
        <v>"has_allowed_values":False,</v>
      </c>
      <c r="T211" t="str">
        <f t="shared" si="25"/>
        <v>"allowed_values":""</v>
      </c>
    </row>
    <row r="212" spans="1:20" ht="13" x14ac:dyDescent="0.15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592</v>
      </c>
      <c r="H212" s="4" t="s">
        <v>348</v>
      </c>
      <c r="I212" s="4" t="b">
        <v>0</v>
      </c>
      <c r="K212" s="4" t="b">
        <f>IF(COUNTIF($B$2:$B212,B212)&gt;1,TRUE,FALSE)</f>
        <v>1</v>
      </c>
      <c r="L212" t="str">
        <f>IF(
K212,"p["""&amp;B212&amp;"""].update({"&amp;""""&amp;C212&amp;""":{"&amp;_xlfn.CONCAT(N212:T212)&amp;"}})","p.update("&amp;M212&amp;")"
)</f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>"{"&amp;""""&amp;B212
&amp;""":{"&amp;""""&amp;C212&amp;""":{"&amp;_xlfn.CONCAT(N212:T212)&amp;"}}}"</f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20"/>
        <v>"type":"string",</v>
      </c>
      <c r="O212" t="str">
        <f t="shared" si="21"/>
        <v>"subtype":"possibly-localized-string",</v>
      </c>
      <c r="P212" t="str">
        <f t="shared" si="22"/>
        <v>"indent":2,</v>
      </c>
      <c r="Q212" t="str">
        <f t="shared" si="26"/>
        <v>"default_value":"",</v>
      </c>
      <c r="R212" t="str">
        <f t="shared" si="23"/>
        <v>"docs_url":"https://looker.com/docs/r/lookml/types/parameter/description?version=7.14&amp;lookml=new",</v>
      </c>
      <c r="S212" t="str">
        <f t="shared" si="24"/>
        <v>"has_allowed_values":False,</v>
      </c>
      <c r="T212" t="str">
        <f t="shared" si="25"/>
        <v>"allowed_values":""</v>
      </c>
    </row>
    <row r="213" spans="1:20" ht="13" x14ac:dyDescent="0.15">
      <c r="A213" s="7">
        <v>228</v>
      </c>
      <c r="B213" s="6" t="s">
        <v>21</v>
      </c>
      <c r="C213" s="6" t="s">
        <v>125</v>
      </c>
      <c r="D213" s="4" t="s">
        <v>569</v>
      </c>
      <c r="E213" s="4" t="s">
        <v>569</v>
      </c>
      <c r="F213" s="4">
        <v>2</v>
      </c>
      <c r="G213" s="4" t="s">
        <v>604</v>
      </c>
      <c r="H213" s="4" t="s">
        <v>349</v>
      </c>
      <c r="I213" s="4" t="b">
        <v>0</v>
      </c>
      <c r="K213" s="4" t="b">
        <f>IF(COUNTIF($B$2:$B213,B213)&gt;1,TRUE,FALSE)</f>
        <v>1</v>
      </c>
      <c r="L213" t="str">
        <f>IF(
K213,"p["""&amp;B213&amp;"""].update({"&amp;""""&amp;C213&amp;""":{"&amp;_xlfn.CONCAT(N213:T213)&amp;"}})","p.update("&amp;M213&amp;")"
)</f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>"{"&amp;""""&amp;B213
&amp;""":{"&amp;""""&amp;C213&amp;""":{"&amp;_xlfn.CONCAT(N213:T213)&amp;"}}}"</f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20"/>
        <v>"type":"yesno",</v>
      </c>
      <c r="O213" t="str">
        <f t="shared" si="21"/>
        <v>"subtype":"yesno",</v>
      </c>
      <c r="P213" t="str">
        <f t="shared" si="22"/>
        <v>"indent":2,</v>
      </c>
      <c r="Q213" t="str">
        <f t="shared" si="26"/>
        <v>"default_value":"no",</v>
      </c>
      <c r="R213" t="str">
        <f t="shared" si="23"/>
        <v>"docs_url":"https://looker.com/docs/r/lookml/types/parameter/hidden?version=7.14&amp;lookml=new",</v>
      </c>
      <c r="S213" t="str">
        <f t="shared" si="24"/>
        <v>"has_allowed_values":False,</v>
      </c>
      <c r="T213" t="str">
        <f t="shared" si="25"/>
        <v>"allowed_values":""</v>
      </c>
    </row>
    <row r="214" spans="1:20" ht="13" x14ac:dyDescent="0.15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592</v>
      </c>
      <c r="H214" s="4" t="s">
        <v>350</v>
      </c>
      <c r="I214" s="4" t="b">
        <v>0</v>
      </c>
      <c r="K214" s="4" t="b">
        <f>IF(COUNTIF($B$2:$B214,B214)&gt;1,TRUE,FALSE)</f>
        <v>1</v>
      </c>
      <c r="L214" t="str">
        <f>IF(
K214,"p["""&amp;B214&amp;"""].update({"&amp;""""&amp;C214&amp;""":{"&amp;_xlfn.CONCAT(N214:T214)&amp;"}})","p.update("&amp;M214&amp;")"
)</f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>"{"&amp;""""&amp;B214
&amp;""":{"&amp;""""&amp;C214&amp;""":{"&amp;_xlfn.CONCAT(N214:T214)&amp;"}}}"</f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20"/>
        <v>"type":"string",</v>
      </c>
      <c r="O214" t="str">
        <f t="shared" si="21"/>
        <v>"subtype":"possibly-localized-string",</v>
      </c>
      <c r="P214" t="str">
        <f t="shared" si="22"/>
        <v>"indent":2,</v>
      </c>
      <c r="Q214" t="str">
        <f t="shared" si="26"/>
        <v>"default_value":"",</v>
      </c>
      <c r="R214" t="str">
        <f t="shared" si="23"/>
        <v>"docs_url":"https://looker.com/docs/r/lookml/types/parameter/label?version=7.14&amp;lookml=new",</v>
      </c>
      <c r="S214" t="str">
        <f t="shared" si="24"/>
        <v>"has_allowed_values":False,</v>
      </c>
      <c r="T214" t="str">
        <f t="shared" si="25"/>
        <v>"allowed_values":""</v>
      </c>
    </row>
    <row r="215" spans="1:20" ht="13" x14ac:dyDescent="0.15">
      <c r="A215" s="7">
        <v>230</v>
      </c>
      <c r="B215" s="6" t="s">
        <v>31</v>
      </c>
      <c r="C215" s="6" t="s">
        <v>125</v>
      </c>
      <c r="D215" s="4" t="s">
        <v>612</v>
      </c>
      <c r="E215" s="4" t="s">
        <v>596</v>
      </c>
      <c r="F215" s="4">
        <v>2</v>
      </c>
      <c r="H215" s="4" t="s">
        <v>351</v>
      </c>
      <c r="I215" s="4" t="b">
        <v>0</v>
      </c>
      <c r="K215" s="4" t="b">
        <f>IF(COUNTIF($B$2:$B215,B215)&gt;1,TRUE,FALSE)</f>
        <v>1</v>
      </c>
      <c r="L215" t="str">
        <f>IF(
K215,"p["""&amp;B215&amp;"""].update({"&amp;""""&amp;C215&amp;""":{"&amp;_xlfn.CONCAT(N215:T215)&amp;"}})","p.update("&amp;M215&amp;")"
)</f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>"{"&amp;""""&amp;B215
&amp;""":{"&amp;""""&amp;C215&amp;""":{"&amp;_xlfn.CONCAT(N215:T215)&amp;"}}}"</f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20"/>
        <v>"type":"list_unquoted",</v>
      </c>
      <c r="O215" t="str">
        <f t="shared" si="21"/>
        <v>"subtype":"access-grant-ref",</v>
      </c>
      <c r="P215" t="str">
        <f t="shared" si="22"/>
        <v>"indent":2,</v>
      </c>
      <c r="Q215" t="str">
        <f t="shared" si="26"/>
        <v>"default_value":"",</v>
      </c>
      <c r="R215" t="str">
        <f t="shared" si="23"/>
        <v>"docs_url":"https://looker.com/docs/r/lookml/types/parameter/required_access_grants?version=7.14&amp;lookml=new",</v>
      </c>
      <c r="S215" t="str">
        <f t="shared" si="24"/>
        <v>"has_allowed_values":False,</v>
      </c>
      <c r="T215" t="str">
        <f t="shared" si="25"/>
        <v>"allowed_values":""</v>
      </c>
    </row>
    <row r="216" spans="1:20" ht="13" x14ac:dyDescent="0.15">
      <c r="A216" s="7">
        <v>231</v>
      </c>
      <c r="B216" s="6" t="s">
        <v>45</v>
      </c>
      <c r="C216" s="6" t="s">
        <v>125</v>
      </c>
      <c r="D216" s="4" t="s">
        <v>569</v>
      </c>
      <c r="E216" s="4" t="s">
        <v>569</v>
      </c>
      <c r="F216" s="4">
        <v>2</v>
      </c>
      <c r="G216" s="4" t="s">
        <v>605</v>
      </c>
      <c r="H216" s="4" t="s">
        <v>352</v>
      </c>
      <c r="I216" s="4" t="b">
        <v>0</v>
      </c>
      <c r="K216" s="4" t="b">
        <f>IF(COUNTIF($B$2:$B216,B216)&gt;1,TRUE,FALSE)</f>
        <v>1</v>
      </c>
      <c r="L216" t="str">
        <f>IF(
K216,"p["""&amp;B216&amp;"""].update({"&amp;""""&amp;C216&amp;""":{"&amp;_xlfn.CONCAT(N216:T216)&amp;"}})","p.update("&amp;M216&amp;")"
)</f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>"{"&amp;""""&amp;B216
&amp;""":{"&amp;""""&amp;C216&amp;""":{"&amp;_xlfn.CONCAT(N216:T216)&amp;"}}}"</f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20"/>
        <v>"type":"yesno",</v>
      </c>
      <c r="O216" t="str">
        <f t="shared" si="21"/>
        <v>"subtype":"yesno",</v>
      </c>
      <c r="P216" t="str">
        <f t="shared" si="22"/>
        <v>"indent":2,</v>
      </c>
      <c r="Q216" t="str">
        <f t="shared" si="26"/>
        <v>"default_value":"yes",</v>
      </c>
      <c r="R216" t="str">
        <f t="shared" si="23"/>
        <v>"docs_url":"https://looker.com/docs/r/lookml/types/parameter/suggestable?version=7.14&amp;lookml=new",</v>
      </c>
      <c r="S216" t="str">
        <f t="shared" si="24"/>
        <v>"has_allowed_values":False,</v>
      </c>
      <c r="T216" t="str">
        <f t="shared" si="25"/>
        <v>"allowed_values":""</v>
      </c>
    </row>
    <row r="217" spans="1:20" ht="13" x14ac:dyDescent="0.15">
      <c r="A217" s="7">
        <v>232</v>
      </c>
      <c r="B217" s="6" t="s">
        <v>47</v>
      </c>
      <c r="C217" s="6" t="s">
        <v>125</v>
      </c>
      <c r="D217" s="4" t="s">
        <v>598</v>
      </c>
      <c r="E217" s="4" t="s">
        <v>598</v>
      </c>
      <c r="F217" s="4">
        <v>2</v>
      </c>
      <c r="H217" s="4" t="s">
        <v>353</v>
      </c>
      <c r="I217" s="4" t="b">
        <v>0</v>
      </c>
      <c r="K217" s="4" t="b">
        <f>IF(COUNTIF($B$2:$B217,B217)&gt;1,TRUE,FALSE)</f>
        <v>1</v>
      </c>
      <c r="L217" t="str">
        <f>IF(
K217,"p["""&amp;B217&amp;"""].update({"&amp;""""&amp;C217&amp;""":{"&amp;_xlfn.CONCAT(N217:T217)&amp;"}})","p.update("&amp;M217&amp;")"
)</f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>"{"&amp;""""&amp;B217
&amp;""":{"&amp;""""&amp;C217&amp;""":{"&amp;_xlfn.CONCAT(N217:T217)&amp;"}}}"</f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20"/>
        <v>"type":"list_quoted",</v>
      </c>
      <c r="O217" t="str">
        <f t="shared" si="21"/>
        <v>"subtype":"list_quoted",</v>
      </c>
      <c r="P217" t="str">
        <f t="shared" si="22"/>
        <v>"indent":2,</v>
      </c>
      <c r="Q217" t="str">
        <f t="shared" si="26"/>
        <v>"default_value":"",</v>
      </c>
      <c r="R217" t="str">
        <f t="shared" si="23"/>
        <v>"docs_url":"https://looker.com/docs/r/lookml/types/parameter/tags?version=7.14&amp;lookml=new",</v>
      </c>
      <c r="S217" t="str">
        <f t="shared" si="24"/>
        <v>"has_allowed_values":False,</v>
      </c>
      <c r="T217" t="str">
        <f t="shared" si="25"/>
        <v>"allowed_values":""</v>
      </c>
    </row>
    <row r="218" spans="1:20" ht="13" x14ac:dyDescent="0.15">
      <c r="A218" s="7">
        <v>233</v>
      </c>
      <c r="B218" s="6" t="s">
        <v>49</v>
      </c>
      <c r="C218" s="6" t="s">
        <v>125</v>
      </c>
      <c r="D218" s="4" t="s">
        <v>551</v>
      </c>
      <c r="E218" s="4" t="s">
        <v>551</v>
      </c>
      <c r="F218" s="4">
        <v>2</v>
      </c>
      <c r="G218" s="4" t="s">
        <v>0</v>
      </c>
      <c r="H218" s="4" t="s">
        <v>354</v>
      </c>
      <c r="I218" s="4" t="b">
        <v>1</v>
      </c>
      <c r="J218" s="1" t="s">
        <v>591</v>
      </c>
      <c r="K218" s="4" t="b">
        <f>IF(COUNTIF($B$2:$B218,B218)&gt;1,TRUE,FALSE)</f>
        <v>1</v>
      </c>
      <c r="L218" t="str">
        <f>IF(
K218,"p["""&amp;B218&amp;"""].update({"&amp;""""&amp;C218&amp;""":{"&amp;_xlfn.CONCAT(N218:T218)&amp;"}})","p.update("&amp;M218&amp;")"
)</f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>"{"&amp;""""&amp;B218
&amp;""":{"&amp;""""&amp;C218&amp;""":{"&amp;_xlfn.CONCAT(N218:T218)&amp;"}}}"</f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20"/>
        <v>"type":"options",</v>
      </c>
      <c r="O218" t="str">
        <f t="shared" si="21"/>
        <v>"subtype":"options",</v>
      </c>
      <c r="P218" t="str">
        <f t="shared" si="22"/>
        <v>"indent":2,</v>
      </c>
      <c r="Q218" t="str">
        <f t="shared" si="26"/>
        <v>"default_value":"string",</v>
      </c>
      <c r="R218" t="str">
        <f t="shared" si="23"/>
        <v>"docs_url":"https://looker.com/docs/r/lookml/types/parameter/type?version=7.14&amp;lookml=new",</v>
      </c>
      <c r="S218" t="str">
        <f t="shared" si="24"/>
        <v>"has_allowed_values":True,</v>
      </c>
      <c r="T218" t="str">
        <f t="shared" si="25"/>
        <v>"allowed_values":["date","date_time","number","string","unquoted","yesno"]</v>
      </c>
    </row>
    <row r="219" spans="1:20" ht="13" x14ac:dyDescent="0.15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599</v>
      </c>
      <c r="F219" s="4">
        <v>2</v>
      </c>
      <c r="H219" s="4" t="s">
        <v>355</v>
      </c>
      <c r="I219" s="4" t="b">
        <v>0</v>
      </c>
      <c r="K219" s="4" t="b">
        <f>IF(COUNTIF($B$2:$B219,B219)&gt;1,TRUE,FALSE)</f>
        <v>1</v>
      </c>
      <c r="L219" t="str">
        <f>IF(
K219,"p["""&amp;B219&amp;"""].update({"&amp;""""&amp;C219&amp;""":{"&amp;_xlfn.CONCAT(N219:T219)&amp;"}})","p.update("&amp;M219&amp;")"
)</f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>"{"&amp;""""&amp;B219
&amp;""":{"&amp;""""&amp;C219&amp;""":{"&amp;_xlfn.CONCAT(N219:T219)&amp;"}}}"</f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20"/>
        <v>"type":"string_unquoted",</v>
      </c>
      <c r="O219" t="str">
        <f t="shared" si="21"/>
        <v>"subtype":"field-ref",</v>
      </c>
      <c r="P219" t="str">
        <f t="shared" si="22"/>
        <v>"indent":2,</v>
      </c>
      <c r="Q219" t="str">
        <f t="shared" si="26"/>
        <v>"default_value":"",</v>
      </c>
      <c r="R219" t="str">
        <f t="shared" si="23"/>
        <v>"docs_url":"https://looker.com/docs/r/lookml/types/parameter/suggest_dimension?version=7.14&amp;lookml=new",</v>
      </c>
      <c r="S219" t="str">
        <f t="shared" si="24"/>
        <v>"has_allowed_values":False,</v>
      </c>
      <c r="T219" t="str">
        <f t="shared" si="25"/>
        <v>"allowed_values":""</v>
      </c>
    </row>
    <row r="220" spans="1:20" ht="13" x14ac:dyDescent="0.15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599</v>
      </c>
      <c r="F220" s="4">
        <v>2</v>
      </c>
      <c r="H220" s="4" t="s">
        <v>356</v>
      </c>
      <c r="I220" s="4" t="b">
        <v>0</v>
      </c>
      <c r="K220" s="4" t="b">
        <f>IF(COUNTIF($B$2:$B220,B220)&gt;1,TRUE,FALSE)</f>
        <v>1</v>
      </c>
      <c r="L220" t="str">
        <f>IF(
K220,"p["""&amp;B220&amp;"""].update({"&amp;""""&amp;C220&amp;""":{"&amp;_xlfn.CONCAT(N220:T220)&amp;"}})","p.update("&amp;M220&amp;")"
)</f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>"{"&amp;""""&amp;B220
&amp;""":{"&amp;""""&amp;C220&amp;""":{"&amp;_xlfn.CONCAT(N220:T220)&amp;"}}}"</f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20"/>
        <v>"type":"string_unquoted",</v>
      </c>
      <c r="O220" t="str">
        <f t="shared" si="21"/>
        <v>"subtype":"explore-ref",</v>
      </c>
      <c r="P220" t="str">
        <f t="shared" si="22"/>
        <v>"indent":2,</v>
      </c>
      <c r="Q220" t="str">
        <f t="shared" si="26"/>
        <v>"default_value":"",</v>
      </c>
      <c r="R220" t="str">
        <f t="shared" si="23"/>
        <v>"docs_url":"https://looker.com/docs/r/lookml/types/parameter/suggest_explore?version=7.14&amp;lookml=new",</v>
      </c>
      <c r="S220" t="str">
        <f t="shared" si="24"/>
        <v>"has_allowed_values":False,</v>
      </c>
      <c r="T220" t="str">
        <f t="shared" si="25"/>
        <v>"allowed_values":""</v>
      </c>
    </row>
    <row r="221" spans="1:20" ht="13" x14ac:dyDescent="0.15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592</v>
      </c>
      <c r="H221" s="4" t="s">
        <v>357</v>
      </c>
      <c r="I221" s="4" t="b">
        <v>0</v>
      </c>
      <c r="K221" s="4" t="b">
        <f>IF(COUNTIF($B$2:$B221,B221)&gt;1,TRUE,FALSE)</f>
        <v>1</v>
      </c>
      <c r="L221" t="str">
        <f>IF(
K221,"p["""&amp;B221&amp;"""].update({"&amp;""""&amp;C221&amp;""":{"&amp;_xlfn.CONCAT(N221:T221)&amp;"}})","p.update("&amp;M221&amp;")"
)</f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>"{"&amp;""""&amp;B221
&amp;""":{"&amp;""""&amp;C221&amp;""":{"&amp;_xlfn.CONCAT(N221:T221)&amp;"}}}"</f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20"/>
        <v>"type":"string",</v>
      </c>
      <c r="O221" t="str">
        <f t="shared" si="21"/>
        <v>"subtype":"possibly-localized-string",</v>
      </c>
      <c r="P221" t="str">
        <f t="shared" si="22"/>
        <v>"indent":2,</v>
      </c>
      <c r="Q221" t="str">
        <f t="shared" si="26"/>
        <v>"default_value":"",</v>
      </c>
      <c r="R221" t="str">
        <f t="shared" si="23"/>
        <v>"docs_url":"https://looker.com/docs/r/lookml/types/parameter/view_label?version=7.14&amp;lookml=new",</v>
      </c>
      <c r="S221" t="str">
        <f t="shared" si="24"/>
        <v>"has_allowed_values":False,</v>
      </c>
      <c r="T221" t="str">
        <f t="shared" si="25"/>
        <v>"allowed_values":""</v>
      </c>
    </row>
    <row r="222" spans="1:20" ht="13" x14ac:dyDescent="0.15">
      <c r="A222" s="7">
        <v>239</v>
      </c>
      <c r="B222" s="6" t="s">
        <v>66</v>
      </c>
      <c r="C222" s="6" t="s">
        <v>70</v>
      </c>
      <c r="D222" s="4" t="s">
        <v>598</v>
      </c>
      <c r="E222" s="4" t="s">
        <v>598</v>
      </c>
      <c r="F222" s="4">
        <v>3</v>
      </c>
      <c r="H222" s="4" t="s">
        <v>358</v>
      </c>
      <c r="I222" s="4" t="b">
        <v>0</v>
      </c>
      <c r="K222" s="4" t="b">
        <f>IF(COUNTIF($B$2:$B222,B222)&gt;1,TRUE,FALSE)</f>
        <v>0</v>
      </c>
      <c r="L222" t="str">
        <f>IF(
K222,"p["""&amp;B222&amp;"""].update({"&amp;""""&amp;C222&amp;""":{"&amp;_xlfn.CONCAT(N222:T222)&amp;"}})","p.update("&amp;M222&amp;")"
)</f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>"{"&amp;""""&amp;B222
&amp;""":{"&amp;""""&amp;C222&amp;""":{"&amp;_xlfn.CONCAT(N222:T222)&amp;"}}}"</f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20"/>
        <v>"type":"list_quoted",</v>
      </c>
      <c r="O222" t="str">
        <f t="shared" si="21"/>
        <v>"subtype":"list_quoted",</v>
      </c>
      <c r="P222" t="str">
        <f t="shared" si="22"/>
        <v>"indent":3,</v>
      </c>
      <c r="Q222" t="str">
        <f t="shared" si="26"/>
        <v>"default_value":"",</v>
      </c>
      <c r="R222" t="str">
        <f t="shared" si="23"/>
        <v>"docs_url":"https://looker.com/docs/r/lookml/types/derived_table/cluster_keys?version=7.14&amp;lookml=new",</v>
      </c>
      <c r="S222" t="str">
        <f t="shared" si="24"/>
        <v>"has_allowed_values":False,</v>
      </c>
      <c r="T222" t="str">
        <f t="shared" si="25"/>
        <v>"allowed_values":""</v>
      </c>
    </row>
    <row r="223" spans="1:20" ht="13" x14ac:dyDescent="0.15">
      <c r="A223" s="7">
        <v>240</v>
      </c>
      <c r="B223" s="6" t="s">
        <v>67</v>
      </c>
      <c r="C223" s="6" t="s">
        <v>70</v>
      </c>
      <c r="D223" s="4" t="s">
        <v>540</v>
      </c>
      <c r="E223" s="4" t="s">
        <v>540</v>
      </c>
      <c r="F223" s="4">
        <v>3</v>
      </c>
      <c r="H223" s="4" t="s">
        <v>359</v>
      </c>
      <c r="I223" s="4" t="b">
        <v>0</v>
      </c>
      <c r="K223" s="4" t="b">
        <f>IF(COUNTIF($B$2:$B223,B223)&gt;1,TRUE,FALSE)</f>
        <v>0</v>
      </c>
      <c r="L223" t="str">
        <f>IF(
K223,"p["""&amp;B223&amp;"""].update({"&amp;""""&amp;C223&amp;""":{"&amp;_xlfn.CONCAT(N223:T223)&amp;"}})","p.update("&amp;M223&amp;")"
)</f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>"{"&amp;""""&amp;B223
&amp;""":{"&amp;""""&amp;C223&amp;""":{"&amp;_xlfn.CONCAT(N223:T223)&amp;"}}}"</f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20"/>
        <v>"type":"anonymous_construct",</v>
      </c>
      <c r="O223" t="str">
        <f t="shared" si="21"/>
        <v>"subtype":"anonymous_construct",</v>
      </c>
      <c r="P223" t="str">
        <f t="shared" si="22"/>
        <v>"indent":3,</v>
      </c>
      <c r="Q223" t="str">
        <f t="shared" si="26"/>
        <v>"default_value":"",</v>
      </c>
      <c r="R223" t="str">
        <f t="shared" si="23"/>
        <v>"docs_url":"https://looker.com/docs/r/lookml/types/derived_table/create_process?version=7.14&amp;lookml=new",</v>
      </c>
      <c r="S223" t="str">
        <f t="shared" si="24"/>
        <v>"has_allowed_values":False,</v>
      </c>
      <c r="T223" t="str">
        <f t="shared" si="25"/>
        <v>"allowed_values":""</v>
      </c>
    </row>
    <row r="224" spans="1:20" ht="13" x14ac:dyDescent="0.15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599</v>
      </c>
      <c r="F224" s="4">
        <v>3</v>
      </c>
      <c r="H224" s="4" t="s">
        <v>360</v>
      </c>
      <c r="I224" s="4" t="b">
        <v>0</v>
      </c>
      <c r="K224" s="4" t="b">
        <f>IF(COUNTIF($B$2:$B224,B224)&gt;1,TRUE,FALSE)</f>
        <v>0</v>
      </c>
      <c r="L224" t="str">
        <f>IF(
K224,"p["""&amp;B224&amp;"""].update({"&amp;""""&amp;C224&amp;""":{"&amp;_xlfn.CONCAT(N224:T224)&amp;"}})","p.update("&amp;M224&amp;")"
)</f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>"{"&amp;""""&amp;B224
&amp;""":{"&amp;""""&amp;C224&amp;""":{"&amp;_xlfn.CONCAT(N224:T224)&amp;"}}}"</f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20"/>
        <v>"type":"string_unquoted",</v>
      </c>
      <c r="O224" t="str">
        <f t="shared" si="21"/>
        <v>"subtype":"datagroup-ref",</v>
      </c>
      <c r="P224" t="str">
        <f t="shared" si="22"/>
        <v>"indent":3,</v>
      </c>
      <c r="Q224" t="str">
        <f t="shared" si="26"/>
        <v>"default_value":"",</v>
      </c>
      <c r="R224" t="str">
        <f t="shared" si="23"/>
        <v>"docs_url":"https://looker.com/docs/r/lookml/types/derived_table/datagroup_trigger?version=7.14&amp;lookml=new",</v>
      </c>
      <c r="S224" t="str">
        <f t="shared" si="24"/>
        <v>"has_allowed_values":False,</v>
      </c>
      <c r="T224" t="str">
        <f t="shared" si="25"/>
        <v>"allowed_values":""</v>
      </c>
    </row>
    <row r="225" spans="1:20" ht="13" x14ac:dyDescent="0.15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592</v>
      </c>
      <c r="H225" s="4" t="s">
        <v>361</v>
      </c>
      <c r="I225" s="4" t="b">
        <v>0</v>
      </c>
      <c r="K225" s="4" t="b">
        <f>IF(COUNTIF($B$2:$B225,B225)&gt;1,TRUE,FALSE)</f>
        <v>0</v>
      </c>
      <c r="L225" t="str">
        <f>IF(
K225,"p["""&amp;B225&amp;"""].update({"&amp;""""&amp;C225&amp;""":{"&amp;_xlfn.CONCAT(N225:T225)&amp;"}})","p.update("&amp;M225&amp;")"
)</f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>"{"&amp;""""&amp;B225
&amp;""":{"&amp;""""&amp;C225&amp;""":{"&amp;_xlfn.CONCAT(N225:T225)&amp;"}}}"</f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20"/>
        <v>"type":"string",</v>
      </c>
      <c r="O225" t="str">
        <f t="shared" si="21"/>
        <v>"subtype":"string",</v>
      </c>
      <c r="P225" t="str">
        <f t="shared" si="22"/>
        <v>"indent":3,</v>
      </c>
      <c r="Q225" t="str">
        <f t="shared" si="26"/>
        <v>"default_value":"",</v>
      </c>
      <c r="R225" t="str">
        <f t="shared" si="23"/>
        <v>"docs_url":"https://looker.com/docs/r/lookml/types/derived_table/distribution?version=7.14&amp;lookml=new",</v>
      </c>
      <c r="S225" t="str">
        <f t="shared" si="24"/>
        <v>"has_allowed_values":False,</v>
      </c>
      <c r="T225" t="str">
        <f t="shared" si="25"/>
        <v>"allowed_values":""</v>
      </c>
    </row>
    <row r="226" spans="1:20" ht="13" x14ac:dyDescent="0.15">
      <c r="A226" s="7">
        <v>243</v>
      </c>
      <c r="B226" s="6" t="s">
        <v>72</v>
      </c>
      <c r="C226" s="6" t="s">
        <v>70</v>
      </c>
      <c r="D226" s="4" t="s">
        <v>551</v>
      </c>
      <c r="E226" s="4" t="s">
        <v>551</v>
      </c>
      <c r="F226" s="4">
        <v>3</v>
      </c>
      <c r="G226" s="4" t="s">
        <v>566</v>
      </c>
      <c r="H226" s="4" t="s">
        <v>362</v>
      </c>
      <c r="I226" s="4" t="b">
        <v>1</v>
      </c>
      <c r="J226" s="4" t="s">
        <v>567</v>
      </c>
      <c r="K226" s="4" t="b">
        <f>IF(COUNTIF($B$2:$B226,B226)&gt;1,TRUE,FALSE)</f>
        <v>0</v>
      </c>
      <c r="L226" t="str">
        <f>IF(
K226,"p["""&amp;B226&amp;"""].update({"&amp;""""&amp;C226&amp;""":{"&amp;_xlfn.CONCAT(N226:T226)&amp;"}})","p.update("&amp;M226&amp;")"
)</f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>"{"&amp;""""&amp;B226
&amp;""":{"&amp;""""&amp;C226&amp;""":{"&amp;_xlfn.CONCAT(N226:T226)&amp;"}}}"</f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20"/>
        <v>"type":"options",</v>
      </c>
      <c r="O226" t="str">
        <f t="shared" si="21"/>
        <v>"subtype":"options",</v>
      </c>
      <c r="P226" t="str">
        <f t="shared" si="22"/>
        <v>"indent":3,</v>
      </c>
      <c r="Q226" t="str">
        <f t="shared" si="26"/>
        <v>"default_value":"even",</v>
      </c>
      <c r="R226" t="str">
        <f t="shared" si="23"/>
        <v>"docs_url":"https://looker.com/docs/r/lookml/types/derived_table/distribution_style?version=7.14&amp;lookml=new",</v>
      </c>
      <c r="S226" t="str">
        <f t="shared" si="24"/>
        <v>"has_allowed_values":True,</v>
      </c>
      <c r="T226" t="str">
        <f t="shared" si="25"/>
        <v>"allowed_values":["all","even"]</v>
      </c>
    </row>
    <row r="227" spans="1:20" ht="13" x14ac:dyDescent="0.15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610</v>
      </c>
      <c r="F227" s="4">
        <v>3</v>
      </c>
      <c r="H227" s="4" t="s">
        <v>363</v>
      </c>
      <c r="I227" s="4" t="b">
        <v>0</v>
      </c>
      <c r="K227" s="4" t="b">
        <f>IF(COUNTIF($B$2:$B227,B227)&gt;1,TRUE,FALSE)</f>
        <v>0</v>
      </c>
      <c r="L227" t="str">
        <f>IF(
K227,"p["""&amp;B227&amp;"""].update({"&amp;""""&amp;C227&amp;""":{"&amp;_xlfn.CONCAT(N227:T227)&amp;"}})","p.update("&amp;M227&amp;")"
)</f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>"{"&amp;""""&amp;B227
&amp;""":{"&amp;""""&amp;C227&amp;""":{"&amp;_xlfn.CONCAT(N227:T227)&amp;"}}}"</f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20"/>
        <v>"type":"named_construct_single",</v>
      </c>
      <c r="O227" t="str">
        <f t="shared" si="21"/>
        <v>"subtype":"explore-ref",</v>
      </c>
      <c r="P227" t="str">
        <f t="shared" si="22"/>
        <v>"indent":3,</v>
      </c>
      <c r="Q227" t="str">
        <f t="shared" si="26"/>
        <v>"default_value":"",</v>
      </c>
      <c r="R227" t="str">
        <f t="shared" si="23"/>
        <v>"docs_url":"https://looker.com/docs/r/lookml/types/derived_table/explore_source?version=7.14&amp;lookml=new",</v>
      </c>
      <c r="S227" t="str">
        <f t="shared" si="24"/>
        <v>"has_allowed_values":False,</v>
      </c>
      <c r="T227" t="str">
        <f t="shared" si="25"/>
        <v>"allowed_values":""</v>
      </c>
    </row>
    <row r="228" spans="1:20" ht="13" x14ac:dyDescent="0.15">
      <c r="A228" s="7">
        <v>245</v>
      </c>
      <c r="B228" s="6" t="s">
        <v>74</v>
      </c>
      <c r="C228" s="6" t="s">
        <v>70</v>
      </c>
      <c r="D228" s="4" t="s">
        <v>598</v>
      </c>
      <c r="E228" s="4" t="s">
        <v>598</v>
      </c>
      <c r="F228" s="4">
        <v>3</v>
      </c>
      <c r="H228" s="4" t="s">
        <v>364</v>
      </c>
      <c r="I228" s="4" t="b">
        <v>0</v>
      </c>
      <c r="K228" s="4" t="b">
        <f>IF(COUNTIF($B$2:$B228,B228)&gt;1,TRUE,FALSE)</f>
        <v>0</v>
      </c>
      <c r="L228" t="str">
        <f>IF(
K228,"p["""&amp;B228&amp;"""].update({"&amp;""""&amp;C228&amp;""":{"&amp;_xlfn.CONCAT(N228:T228)&amp;"}})","p.update("&amp;M228&amp;")"
)</f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>"{"&amp;""""&amp;B228
&amp;""":{"&amp;""""&amp;C228&amp;""":{"&amp;_xlfn.CONCAT(N228:T228)&amp;"}}}"</f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20"/>
        <v>"type":"list_quoted",</v>
      </c>
      <c r="O228" t="str">
        <f t="shared" si="21"/>
        <v>"subtype":"list_quoted",</v>
      </c>
      <c r="P228" t="str">
        <f t="shared" si="22"/>
        <v>"indent":3,</v>
      </c>
      <c r="Q228" t="str">
        <f t="shared" si="26"/>
        <v>"default_value":"",</v>
      </c>
      <c r="R228" t="str">
        <f t="shared" si="23"/>
        <v>"docs_url":"https://looker.com/docs/r/lookml/types/derived_table/indexes?version=7.14&amp;lookml=new",</v>
      </c>
      <c r="S228" t="str">
        <f t="shared" si="24"/>
        <v>"has_allowed_values":False,</v>
      </c>
      <c r="T228" t="str">
        <f t="shared" si="25"/>
        <v>"allowed_values":""</v>
      </c>
    </row>
    <row r="229" spans="1:20" ht="13" x14ac:dyDescent="0.15">
      <c r="A229" s="7">
        <v>246</v>
      </c>
      <c r="B229" s="6" t="s">
        <v>75</v>
      </c>
      <c r="C229" s="6" t="s">
        <v>70</v>
      </c>
      <c r="D229" s="4" t="s">
        <v>598</v>
      </c>
      <c r="E229" s="4" t="s">
        <v>598</v>
      </c>
      <c r="F229" s="4">
        <v>3</v>
      </c>
      <c r="H229" s="4" t="s">
        <v>365</v>
      </c>
      <c r="I229" s="4" t="b">
        <v>0</v>
      </c>
      <c r="K229" s="4" t="b">
        <f>IF(COUNTIF($B$2:$B229,B229)&gt;1,TRUE,FALSE)</f>
        <v>0</v>
      </c>
      <c r="L229" t="str">
        <f>IF(
K229,"p["""&amp;B229&amp;"""].update({"&amp;""""&amp;C229&amp;""":{"&amp;_xlfn.CONCAT(N229:T229)&amp;"}})","p.update("&amp;M229&amp;")"
)</f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>"{"&amp;""""&amp;B229
&amp;""":{"&amp;""""&amp;C229&amp;""":{"&amp;_xlfn.CONCAT(N229:T229)&amp;"}}}"</f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20"/>
        <v>"type":"list_quoted",</v>
      </c>
      <c r="O229" t="str">
        <f t="shared" si="21"/>
        <v>"subtype":"list_quoted",</v>
      </c>
      <c r="P229" t="str">
        <f t="shared" si="22"/>
        <v>"indent":3,</v>
      </c>
      <c r="Q229" t="str">
        <f t="shared" si="26"/>
        <v>"default_value":"",</v>
      </c>
      <c r="R229" t="str">
        <f t="shared" si="23"/>
        <v>"docs_url":"https://looker.com/docs/r/lookml/types/derived_table/partition_keys?version=7.14&amp;lookml=new",</v>
      </c>
      <c r="S229" t="str">
        <f t="shared" si="24"/>
        <v>"has_allowed_values":False,</v>
      </c>
      <c r="T229" t="str">
        <f t="shared" si="25"/>
        <v>"allowed_values":""</v>
      </c>
    </row>
    <row r="230" spans="1:20" ht="13" x14ac:dyDescent="0.15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592</v>
      </c>
      <c r="H230" s="4" t="s">
        <v>366</v>
      </c>
      <c r="I230" s="4" t="b">
        <v>0</v>
      </c>
      <c r="K230" s="4" t="b">
        <f>IF(COUNTIF($B$2:$B230,B230)&gt;1,TRUE,FALSE)</f>
        <v>1</v>
      </c>
      <c r="L230" t="str">
        <f>IF(
K230,"p["""&amp;B230&amp;"""].update({"&amp;""""&amp;C230&amp;""":{"&amp;_xlfn.CONCAT(N230:T230)&amp;"}})","p.update("&amp;M230&amp;")"
)</f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>"{"&amp;""""&amp;B230
&amp;""":{"&amp;""""&amp;C230&amp;""":{"&amp;_xlfn.CONCAT(N230:T230)&amp;"}}}"</f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20"/>
        <v>"type":"string",</v>
      </c>
      <c r="O230" t="str">
        <f t="shared" si="21"/>
        <v>"subtype":"string",</v>
      </c>
      <c r="P230" t="str">
        <f t="shared" si="22"/>
        <v>"indent":3,</v>
      </c>
      <c r="Q230" t="str">
        <f t="shared" si="26"/>
        <v>"default_value":"",</v>
      </c>
      <c r="R230" t="str">
        <f t="shared" si="23"/>
        <v>"docs_url":"https://looker.com/docs/r/lookml/types/derived_table/persist_for?version=7.14&amp;lookml=new",</v>
      </c>
      <c r="S230" t="str">
        <f t="shared" si="24"/>
        <v>"has_allowed_values":False,</v>
      </c>
      <c r="T230" t="str">
        <f t="shared" si="25"/>
        <v>"allowed_values":""</v>
      </c>
    </row>
    <row r="231" spans="1:20" ht="13" x14ac:dyDescent="0.15">
      <c r="A231" s="7">
        <v>248</v>
      </c>
      <c r="B231" s="6" t="s">
        <v>78</v>
      </c>
      <c r="C231" s="6" t="s">
        <v>70</v>
      </c>
      <c r="D231" s="4" t="s">
        <v>598</v>
      </c>
      <c r="E231" s="4" t="s">
        <v>598</v>
      </c>
      <c r="F231" s="4">
        <v>3</v>
      </c>
      <c r="H231" s="4" t="s">
        <v>367</v>
      </c>
      <c r="I231" s="4" t="b">
        <v>0</v>
      </c>
      <c r="K231" s="4" t="b">
        <f>IF(COUNTIF($B$2:$B231,B231)&gt;1,TRUE,FALSE)</f>
        <v>0</v>
      </c>
      <c r="L231" t="str">
        <f>IF(
K231,"p["""&amp;B231&amp;"""].update({"&amp;""""&amp;C231&amp;""":{"&amp;_xlfn.CONCAT(N231:T231)&amp;"}})","p.update("&amp;M231&amp;")"
)</f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>"{"&amp;""""&amp;B231
&amp;""":{"&amp;""""&amp;C231&amp;""":{"&amp;_xlfn.CONCAT(N231:T231)&amp;"}}}"</f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20"/>
        <v>"type":"list_quoted",</v>
      </c>
      <c r="O231" t="str">
        <f t="shared" si="21"/>
        <v>"subtype":"list_quoted",</v>
      </c>
      <c r="P231" t="str">
        <f t="shared" si="22"/>
        <v>"indent":3,</v>
      </c>
      <c r="Q231" t="str">
        <f t="shared" si="26"/>
        <v>"default_value":"",</v>
      </c>
      <c r="R231" t="str">
        <f t="shared" si="23"/>
        <v>"docs_url":"https://looker.com/docs/r/lookml/types/derived_table/sortkeys?version=7.14&amp;lookml=new",</v>
      </c>
      <c r="S231" t="str">
        <f t="shared" si="24"/>
        <v>"has_allowed_values":False,</v>
      </c>
      <c r="T231" t="str">
        <f t="shared" si="25"/>
        <v>"allowed_values":""</v>
      </c>
    </row>
    <row r="232" spans="1:20" ht="13" x14ac:dyDescent="0.15">
      <c r="A232" s="7">
        <v>249</v>
      </c>
      <c r="B232" s="6" t="s">
        <v>34</v>
      </c>
      <c r="C232" s="6" t="s">
        <v>70</v>
      </c>
      <c r="D232" s="4" t="s">
        <v>613</v>
      </c>
      <c r="E232" s="4" t="s">
        <v>34</v>
      </c>
      <c r="F232" s="4">
        <v>3</v>
      </c>
      <c r="G232" s="4" t="s">
        <v>592</v>
      </c>
      <c r="H232" s="4" t="s">
        <v>368</v>
      </c>
      <c r="I232" s="4" t="b">
        <v>0</v>
      </c>
      <c r="K232" s="4" t="b">
        <f>IF(COUNTIF($B$2:$B232,B232)&gt;1,TRUE,FALSE)</f>
        <v>1</v>
      </c>
      <c r="L232" t="str">
        <f>IF(
K232,"p["""&amp;B232&amp;"""].update({"&amp;""""&amp;C232&amp;""":{"&amp;_xlfn.CONCAT(N232:T232)&amp;"}})","p.update("&amp;M232&amp;")"
)</f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>"{"&amp;""""&amp;B232
&amp;""":{"&amp;""""&amp;C232&amp;""":{"&amp;_xlfn.CONCAT(N232:T232)&amp;"}}}"</f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20"/>
        <v>"type":"sql",</v>
      </c>
      <c r="O232" t="str">
        <f t="shared" si="21"/>
        <v>"subtype":"sql-block ",</v>
      </c>
      <c r="P232" t="str">
        <f t="shared" si="22"/>
        <v>"indent":3,</v>
      </c>
      <c r="Q232" t="str">
        <f t="shared" si="26"/>
        <v>"default_value":"",</v>
      </c>
      <c r="R232" t="str">
        <f t="shared" si="23"/>
        <v>"docs_url":"https://looker.com/docs/r/lookml/types/derived_table/sql?version=7.14&amp;lookml=new",</v>
      </c>
      <c r="S232" t="str">
        <f t="shared" si="24"/>
        <v>"has_allowed_values":False,</v>
      </c>
      <c r="T232" t="str">
        <f t="shared" si="25"/>
        <v>"allowed_values":""</v>
      </c>
    </row>
    <row r="233" spans="1:20" ht="13" x14ac:dyDescent="0.15">
      <c r="A233" s="7">
        <v>250</v>
      </c>
      <c r="B233" s="6" t="s">
        <v>79</v>
      </c>
      <c r="C233" s="6" t="s">
        <v>70</v>
      </c>
      <c r="D233" s="4" t="s">
        <v>613</v>
      </c>
      <c r="E233" s="4" t="s">
        <v>34</v>
      </c>
      <c r="F233" s="4">
        <v>3</v>
      </c>
      <c r="G233" s="4" t="s">
        <v>592</v>
      </c>
      <c r="H233" s="4" t="s">
        <v>369</v>
      </c>
      <c r="I233" s="4" t="b">
        <v>0</v>
      </c>
      <c r="K233" s="4" t="b">
        <f>IF(COUNTIF($B$2:$B233,B233)&gt;1,TRUE,FALSE)</f>
        <v>0</v>
      </c>
      <c r="L233" t="str">
        <f>IF(
K233,"p["""&amp;B233&amp;"""].update({"&amp;""""&amp;C233&amp;""":{"&amp;_xlfn.CONCAT(N233:T233)&amp;"}})","p.update("&amp;M233&amp;")"
)</f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>"{"&amp;""""&amp;B233
&amp;""":{"&amp;""""&amp;C233&amp;""":{"&amp;_xlfn.CONCAT(N233:T233)&amp;"}}}"</f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20"/>
        <v>"type":"sql",</v>
      </c>
      <c r="O233" t="str">
        <f t="shared" si="21"/>
        <v>"subtype":"sql-block ",</v>
      </c>
      <c r="P233" t="str">
        <f t="shared" si="22"/>
        <v>"indent":3,</v>
      </c>
      <c r="Q233" t="str">
        <f t="shared" si="26"/>
        <v>"default_value":"",</v>
      </c>
      <c r="R233" t="str">
        <f t="shared" si="23"/>
        <v>"docs_url":"https://looker.com/docs/r/lookml/types/derived_table/sql_create?version=7.14&amp;lookml=new",</v>
      </c>
      <c r="S233" t="str">
        <f t="shared" si="24"/>
        <v>"has_allowed_values":False,</v>
      </c>
      <c r="T233" t="str">
        <f t="shared" si="25"/>
        <v>"allowed_values":""</v>
      </c>
    </row>
    <row r="234" spans="1:20" ht="13" x14ac:dyDescent="0.15">
      <c r="A234" s="7">
        <v>251</v>
      </c>
      <c r="B234" s="6" t="s">
        <v>80</v>
      </c>
      <c r="C234" s="6" t="s">
        <v>70</v>
      </c>
      <c r="D234" s="4" t="s">
        <v>613</v>
      </c>
      <c r="E234" s="4" t="s">
        <v>34</v>
      </c>
      <c r="F234" s="4">
        <v>3</v>
      </c>
      <c r="G234" s="4" t="s">
        <v>592</v>
      </c>
      <c r="H234" s="4" t="s">
        <v>370</v>
      </c>
      <c r="I234" s="4" t="b">
        <v>0</v>
      </c>
      <c r="K234" s="4" t="b">
        <f>IF(COUNTIF($B$2:$B234,B234)&gt;1,TRUE,FALSE)</f>
        <v>0</v>
      </c>
      <c r="L234" t="str">
        <f>IF(
K234,"p["""&amp;B234&amp;"""].update({"&amp;""""&amp;C234&amp;""":{"&amp;_xlfn.CONCAT(N234:T234)&amp;"}})","p.update("&amp;M234&amp;")"
)</f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>"{"&amp;""""&amp;B234
&amp;""":{"&amp;""""&amp;C234&amp;""":{"&amp;_xlfn.CONCAT(N234:T234)&amp;"}}}"</f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20"/>
        <v>"type":"sql",</v>
      </c>
      <c r="O234" t="str">
        <f t="shared" si="21"/>
        <v>"subtype":"sql-block ",</v>
      </c>
      <c r="P234" t="str">
        <f t="shared" si="22"/>
        <v>"indent":3,</v>
      </c>
      <c r="Q234" t="str">
        <f t="shared" si="26"/>
        <v>"default_value":"",</v>
      </c>
      <c r="R234" t="str">
        <f t="shared" si="23"/>
        <v>"docs_url":"https://looker.com/docs/r/lookml/types/derived_table/sql_trigger_value?version=7.14&amp;lookml=new",</v>
      </c>
      <c r="S234" t="str">
        <f t="shared" si="24"/>
        <v>"has_allowed_values":False,</v>
      </c>
      <c r="T234" t="str">
        <f t="shared" si="25"/>
        <v>"allowed_values":""</v>
      </c>
    </row>
    <row r="235" spans="1:20" ht="13" x14ac:dyDescent="0.15">
      <c r="A235" s="7">
        <v>252</v>
      </c>
      <c r="B235" s="6" t="s">
        <v>81</v>
      </c>
      <c r="C235" s="6" t="s">
        <v>70</v>
      </c>
      <c r="D235" s="4" t="s">
        <v>551</v>
      </c>
      <c r="E235" s="4" t="s">
        <v>551</v>
      </c>
      <c r="F235" s="4">
        <v>3</v>
      </c>
      <c r="G235" s="4" t="s">
        <v>565</v>
      </c>
      <c r="H235" s="4" t="s">
        <v>371</v>
      </c>
      <c r="I235" s="4" t="b">
        <v>1</v>
      </c>
      <c r="J235" s="4" t="s">
        <v>564</v>
      </c>
      <c r="K235" s="4" t="b">
        <f>IF(COUNTIF($B$2:$B235,B235)&gt;1,TRUE,FALSE)</f>
        <v>0</v>
      </c>
      <c r="L235" t="str">
        <f>IF(
K235,"p["""&amp;B235&amp;"""].update({"&amp;""""&amp;C235&amp;""":{"&amp;_xlfn.CONCAT(N235:T235)&amp;"}})","p.update("&amp;M235&amp;")"
)</f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>"{"&amp;""""&amp;B235
&amp;""":{"&amp;""""&amp;C235&amp;""":{"&amp;_xlfn.CONCAT(N235:T235)&amp;"}}}"</f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20"/>
        <v>"type":"options",</v>
      </c>
      <c r="O235" t="str">
        <f t="shared" si="21"/>
        <v>"subtype":"options",</v>
      </c>
      <c r="P235" t="str">
        <f t="shared" si="22"/>
        <v>"indent":3,</v>
      </c>
      <c r="Q235" t="str">
        <f t="shared" si="26"/>
        <v>"default_value":"GZIP",</v>
      </c>
      <c r="R235" t="str">
        <f t="shared" si="23"/>
        <v>"docs_url":"https://looker.com/docs/r/lookml/types/derived_table/table_compression?version=7.14&amp;lookml=new",</v>
      </c>
      <c r="S235" t="str">
        <f t="shared" si="24"/>
        <v>"has_allowed_values":True,</v>
      </c>
      <c r="T235" t="str">
        <f t="shared" si="25"/>
        <v>"allowed_values":["GZIP", "SNAPPY"]</v>
      </c>
    </row>
    <row r="236" spans="1:20" ht="13" x14ac:dyDescent="0.15">
      <c r="A236" s="7">
        <v>253</v>
      </c>
      <c r="B236" s="6" t="s">
        <v>82</v>
      </c>
      <c r="C236" s="6" t="s">
        <v>70</v>
      </c>
      <c r="D236" s="4" t="s">
        <v>551</v>
      </c>
      <c r="E236" s="4" t="s">
        <v>551</v>
      </c>
      <c r="F236" s="4">
        <v>3</v>
      </c>
      <c r="G236" s="4" t="s">
        <v>562</v>
      </c>
      <c r="H236" s="4" t="s">
        <v>372</v>
      </c>
      <c r="I236" s="4" t="b">
        <v>1</v>
      </c>
      <c r="J236" s="4" t="s">
        <v>563</v>
      </c>
      <c r="K236" s="4" t="b">
        <f>IF(COUNTIF($B$2:$B236,B236)&gt;1,TRUE,FALSE)</f>
        <v>0</v>
      </c>
      <c r="L236" t="str">
        <f>IF(
K236,"p["""&amp;B236&amp;"""].update({"&amp;""""&amp;C236&amp;""":{"&amp;_xlfn.CONCAT(N236:T236)&amp;"}})","p.update("&amp;M236&amp;")"
)</f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>"{"&amp;""""&amp;B236
&amp;""":{"&amp;""""&amp;C236&amp;""":{"&amp;_xlfn.CONCAT(N236:T236)&amp;"}}}"</f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20"/>
        <v>"type":"options",</v>
      </c>
      <c r="O236" t="str">
        <f t="shared" si="21"/>
        <v>"subtype":"options",</v>
      </c>
      <c r="P236" t="str">
        <f t="shared" si="22"/>
        <v>"indent":3,</v>
      </c>
      <c r="Q236" t="str">
        <f t="shared" si="26"/>
        <v>"default_value":"PARQUET",</v>
      </c>
      <c r="R236" t="str">
        <f t="shared" si="23"/>
        <v>"docs_url":"https://looker.com/docs/r/lookml/types/derived_table/table_format?version=7.14&amp;lookml=new",</v>
      </c>
      <c r="S236" t="str">
        <f t="shared" si="24"/>
        <v>"has_allowed_values":True,</v>
      </c>
      <c r="T236" t="str">
        <f t="shared" si="25"/>
        <v>"allowed_values":["PARQUET", "ORC", "AVRO", "JSON", "TEXTFILE"]</v>
      </c>
    </row>
    <row r="237" spans="1:20" ht="13" x14ac:dyDescent="0.15">
      <c r="A237" s="7">
        <v>254</v>
      </c>
      <c r="B237" s="6" t="s">
        <v>77</v>
      </c>
      <c r="C237" s="6" t="s">
        <v>70</v>
      </c>
      <c r="D237" s="4" t="s">
        <v>569</v>
      </c>
      <c r="E237" s="4" t="s">
        <v>569</v>
      </c>
      <c r="F237" s="4">
        <v>3</v>
      </c>
      <c r="G237" s="4" t="s">
        <v>604</v>
      </c>
      <c r="H237" s="4" t="s">
        <v>373</v>
      </c>
      <c r="I237" s="4" t="b">
        <v>0</v>
      </c>
      <c r="K237" s="4" t="b">
        <f>IF(COUNTIF($B$2:$B237,B237)&gt;1,TRUE,FALSE)</f>
        <v>0</v>
      </c>
      <c r="L237" t="str">
        <f>IF(
K237,"p["""&amp;B237&amp;"""].update({"&amp;""""&amp;C237&amp;""":{"&amp;_xlfn.CONCAT(N237:T237)&amp;"}})","p.update("&amp;M237&amp;")"
)</f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>"{"&amp;""""&amp;B237
&amp;""":{"&amp;""""&amp;C237&amp;""":{"&amp;_xlfn.CONCAT(N237:T237)&amp;"}}}"</f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20"/>
        <v>"type":"yesno",</v>
      </c>
      <c r="O237" t="str">
        <f t="shared" si="21"/>
        <v>"subtype":"yesno",</v>
      </c>
      <c r="P237" t="str">
        <f t="shared" si="22"/>
        <v>"indent":3,</v>
      </c>
      <c r="Q237" t="str">
        <f t="shared" si="26"/>
        <v>"default_value":"no",</v>
      </c>
      <c r="R237" t="str">
        <f t="shared" si="23"/>
        <v>"docs_url":"https://looker.com/docs/r/lookml/types/derived_table/publish_as_db_view?version=7.14&amp;lookml=new",</v>
      </c>
      <c r="S237" t="str">
        <f t="shared" si="24"/>
        <v>"has_allowed_values":False,</v>
      </c>
      <c r="T237" t="str">
        <f t="shared" si="25"/>
        <v>"allowed_values":""</v>
      </c>
    </row>
    <row r="238" spans="1:20" ht="13" x14ac:dyDescent="0.15">
      <c r="A238" s="7">
        <v>257</v>
      </c>
      <c r="B238" s="6" t="s">
        <v>487</v>
      </c>
      <c r="C238" s="6" t="s">
        <v>73</v>
      </c>
      <c r="D238" s="4" t="s">
        <v>538</v>
      </c>
      <c r="E238" s="4" t="s">
        <v>597</v>
      </c>
      <c r="F238" s="4">
        <v>4</v>
      </c>
      <c r="G238" s="4" t="s">
        <v>592</v>
      </c>
      <c r="H238" s="4" t="s">
        <v>374</v>
      </c>
      <c r="I238" s="4" t="b">
        <v>0</v>
      </c>
      <c r="K238" s="4" t="b">
        <f>IF(COUNTIF($B$2:$B238,B238)&gt;1,TRUE,FALSE)</f>
        <v>0</v>
      </c>
      <c r="L238" t="str">
        <f>IF(
K238,"p["""&amp;B238&amp;"""].update({"&amp;""""&amp;C238&amp;""":{"&amp;_xlfn.CONCAT(N238:T238)&amp;"}})","p.update("&amp;M238&amp;")"
)</f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>"{"&amp;""""&amp;B238
&amp;""":{"&amp;""""&amp;C238&amp;""":{"&amp;_xlfn.CONCAT(N238:T238)&amp;"}}}"</f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20"/>
        <v>"type":"expression",</v>
      </c>
      <c r="O238" t="str">
        <f t="shared" si="21"/>
        <v>"subtype":"expression-block",</v>
      </c>
      <c r="P238" t="str">
        <f t="shared" si="22"/>
        <v>"indent":4,</v>
      </c>
      <c r="Q238" t="str">
        <f t="shared" si="26"/>
        <v>"default_value":"",</v>
      </c>
      <c r="R238" t="str">
        <f t="shared" si="23"/>
        <v>"docs_url":"https://looker.com/docs/r/lookml/types/explore_source/expression_custom_filter?version=7.14&amp;lookml=new",</v>
      </c>
      <c r="S238" t="str">
        <f t="shared" si="24"/>
        <v>"has_allowed_values":False,</v>
      </c>
      <c r="T238" t="str">
        <f t="shared" si="25"/>
        <v>"allowed_values":""</v>
      </c>
    </row>
    <row r="239" spans="1:20" ht="13" x14ac:dyDescent="0.15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375</v>
      </c>
      <c r="I239" s="4" t="b">
        <v>0</v>
      </c>
      <c r="K239" s="4" t="b">
        <f>IF(COUNTIF($B$2:$B239,B239)&gt;1,TRUE,FALSE)</f>
        <v>1</v>
      </c>
      <c r="L239" t="str">
        <f>IF(
K239,"p["""&amp;B239&amp;"""].update({"&amp;""""&amp;C239&amp;""":{"&amp;_xlfn.CONCAT(N239:T239)&amp;"}})","p.update("&amp;M239&amp;")"
)</f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>"{"&amp;""""&amp;B239
&amp;""":{"&amp;""""&amp;C239&amp;""":{"&amp;_xlfn.CONCAT(N239:T239)&amp;"}}}"</f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20"/>
        <v>"type":"filters",</v>
      </c>
      <c r="O239" t="str">
        <f t="shared" si="21"/>
        <v>"subtype":"identifier",</v>
      </c>
      <c r="P239" t="str">
        <f t="shared" si="22"/>
        <v>"indent":4,</v>
      </c>
      <c r="Q239" t="str">
        <f t="shared" si="26"/>
        <v>"default_value":"",</v>
      </c>
      <c r="R239" t="str">
        <f t="shared" si="23"/>
        <v>"docs_url":"https://looker.com/docs/r/lookml/types/explore_source/filters?version=7.14&amp;lookml=new",</v>
      </c>
      <c r="S239" t="str">
        <f t="shared" si="24"/>
        <v>"has_allowed_values":False,</v>
      </c>
      <c r="T239" t="str">
        <f t="shared" si="25"/>
        <v>"allowed_values":""</v>
      </c>
    </row>
    <row r="240" spans="1:20" ht="13" x14ac:dyDescent="0.15">
      <c r="A240" s="7">
        <v>259</v>
      </c>
      <c r="B240" s="6" t="s">
        <v>488</v>
      </c>
      <c r="C240" s="6" t="s">
        <v>73</v>
      </c>
      <c r="D240" s="4" t="s">
        <v>62</v>
      </c>
      <c r="E240" s="4" t="s">
        <v>599</v>
      </c>
      <c r="F240" s="4">
        <v>4</v>
      </c>
      <c r="G240" s="4">
        <v>5000</v>
      </c>
      <c r="H240" s="4" t="s">
        <v>376</v>
      </c>
      <c r="I240" s="4" t="b">
        <v>0</v>
      </c>
      <c r="K240" s="4" t="b">
        <f>IF(COUNTIF($B$2:$B240,B240)&gt;1,TRUE,FALSE)</f>
        <v>0</v>
      </c>
      <c r="L240" t="str">
        <f>IF(
K240,"p["""&amp;B240&amp;"""].update({"&amp;""""&amp;C240&amp;""":{"&amp;_xlfn.CONCAT(N240:T240)&amp;"}})","p.update("&amp;M240&amp;")"
)</f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>"{"&amp;""""&amp;B240
&amp;""":{"&amp;""""&amp;C240&amp;""":{"&amp;_xlfn.CONCAT(N240:T240)&amp;"}}}"</f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20"/>
        <v>"type":"string_unquoted",</v>
      </c>
      <c r="O240" t="str">
        <f t="shared" si="21"/>
        <v>"subtype":"number",</v>
      </c>
      <c r="P240" t="str">
        <f t="shared" si="22"/>
        <v>"indent":4,</v>
      </c>
      <c r="Q240" t="str">
        <f t="shared" si="26"/>
        <v>"default_value":"5000",</v>
      </c>
      <c r="R240" t="str">
        <f t="shared" si="23"/>
        <v>"docs_url":"https://looker.com/docs/r/lookml/types/explore_source/limit?version=7.14&amp;lookml=new",</v>
      </c>
      <c r="S240" t="str">
        <f t="shared" si="24"/>
        <v>"has_allowed_values":False,</v>
      </c>
      <c r="T240" t="str">
        <f t="shared" si="25"/>
        <v>"allowed_values":""</v>
      </c>
    </row>
    <row r="241" spans="1:20" ht="13" x14ac:dyDescent="0.15">
      <c r="A241" s="7">
        <v>260</v>
      </c>
      <c r="B241" s="6" t="s">
        <v>130</v>
      </c>
      <c r="C241" s="6" t="s">
        <v>73</v>
      </c>
      <c r="D241" s="4" t="s">
        <v>95</v>
      </c>
      <c r="E241" s="4" t="s">
        <v>593</v>
      </c>
      <c r="F241" s="4">
        <v>4</v>
      </c>
      <c r="H241" s="4" t="s">
        <v>377</v>
      </c>
      <c r="I241" s="4" t="b">
        <v>0</v>
      </c>
      <c r="K241" s="4" t="b">
        <f>IF(COUNTIF($B$2:$B241,B241)&gt;1,TRUE,FALSE)</f>
        <v>0</v>
      </c>
      <c r="L241" t="str">
        <f>IF(
K241,"p["""&amp;B241&amp;"""].update({"&amp;""""&amp;C241&amp;""":{"&amp;_xlfn.CONCAT(N241:T241)&amp;"}})","p.update("&amp;M241&amp;")"
)</f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>"{"&amp;""""&amp;B241
&amp;""":{"&amp;""""&amp;C241&amp;""":{"&amp;_xlfn.CONCAT(N241:T241)&amp;"}}}"</f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20"/>
        <v>"type":"named_construct",</v>
      </c>
      <c r="O241" t="str">
        <f t="shared" si="21"/>
        <v>"subtype":"identifier",</v>
      </c>
      <c r="P241" t="str">
        <f t="shared" si="22"/>
        <v>"indent":4,</v>
      </c>
      <c r="Q241" t="str">
        <f t="shared" si="26"/>
        <v>"default_value":"",</v>
      </c>
      <c r="R241" t="str">
        <f t="shared" si="23"/>
        <v>"docs_url":"https://looker.com/docs/r/lookml/types/explore_source/column?version=7.14&amp;lookml=new",</v>
      </c>
      <c r="S241" t="str">
        <f t="shared" si="24"/>
        <v>"has_allowed_values":False,</v>
      </c>
      <c r="T241" t="str">
        <f t="shared" si="25"/>
        <v>"allowed_values":""</v>
      </c>
    </row>
    <row r="242" spans="1:20" ht="13" x14ac:dyDescent="0.15">
      <c r="A242" s="7">
        <v>261</v>
      </c>
      <c r="B242" s="6" t="s">
        <v>131</v>
      </c>
      <c r="C242" s="6" t="s">
        <v>73</v>
      </c>
      <c r="D242" s="4" t="s">
        <v>95</v>
      </c>
      <c r="E242" s="4" t="s">
        <v>593</v>
      </c>
      <c r="F242" s="4">
        <v>4</v>
      </c>
      <c r="H242" s="4" t="s">
        <v>378</v>
      </c>
      <c r="I242" s="4" t="b">
        <v>0</v>
      </c>
      <c r="K242" s="4" t="b">
        <f>IF(COUNTIF($B$2:$B242,B242)&gt;1,TRUE,FALSE)</f>
        <v>0</v>
      </c>
      <c r="L242" t="str">
        <f>IF(
K242,"p["""&amp;B242&amp;"""].update({"&amp;""""&amp;C242&amp;""":{"&amp;_xlfn.CONCAT(N242:T242)&amp;"}})","p.update("&amp;M242&amp;")"
)</f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>"{"&amp;""""&amp;B242
&amp;""":{"&amp;""""&amp;C242&amp;""":{"&amp;_xlfn.CONCAT(N242:T242)&amp;"}}}"</f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20"/>
        <v>"type":"named_construct",</v>
      </c>
      <c r="O242" t="str">
        <f t="shared" si="21"/>
        <v>"subtype":"identifier",</v>
      </c>
      <c r="P242" t="str">
        <f t="shared" si="22"/>
        <v>"indent":4,</v>
      </c>
      <c r="Q242" t="str">
        <f t="shared" si="26"/>
        <v>"default_value":"",</v>
      </c>
      <c r="R242" t="str">
        <f t="shared" si="23"/>
        <v>"docs_url":"https://looker.com/docs/r/lookml/types/explore_source/derived_column?version=7.14&amp;lookml=new",</v>
      </c>
      <c r="S242" t="str">
        <f t="shared" si="24"/>
        <v>"has_allowed_values":False,</v>
      </c>
      <c r="T242" t="str">
        <f t="shared" si="25"/>
        <v>"allowed_values":""</v>
      </c>
    </row>
    <row r="243" spans="1:20" ht="13" x14ac:dyDescent="0.15">
      <c r="A243" s="7">
        <v>262</v>
      </c>
      <c r="B243" s="6" t="s">
        <v>489</v>
      </c>
      <c r="C243" s="6" t="s">
        <v>73</v>
      </c>
      <c r="D243" s="4" t="s">
        <v>569</v>
      </c>
      <c r="E243" s="4" t="s">
        <v>569</v>
      </c>
      <c r="F243" s="4">
        <v>4</v>
      </c>
      <c r="G243" s="4" t="s">
        <v>604</v>
      </c>
      <c r="H243" s="4" t="s">
        <v>379</v>
      </c>
      <c r="I243" s="4" t="b">
        <v>0</v>
      </c>
      <c r="K243" s="4" t="b">
        <f>IF(COUNTIF($B$2:$B243,B243)&gt;1,TRUE,FALSE)</f>
        <v>0</v>
      </c>
      <c r="L243" t="str">
        <f>IF(
K243,"p["""&amp;B243&amp;"""].update({"&amp;""""&amp;C243&amp;""":{"&amp;_xlfn.CONCAT(N243:T243)&amp;"}})","p.update("&amp;M243&amp;")"
)</f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>"{"&amp;""""&amp;B243
&amp;""":{"&amp;""""&amp;C243&amp;""":{"&amp;_xlfn.CONCAT(N243:T243)&amp;"}}}"</f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20"/>
        <v>"type":"yesno",</v>
      </c>
      <c r="O243" t="str">
        <f t="shared" si="21"/>
        <v>"subtype":"yesno",</v>
      </c>
      <c r="P243" t="str">
        <f t="shared" si="22"/>
        <v>"indent":4,</v>
      </c>
      <c r="Q243" t="str">
        <f t="shared" si="26"/>
        <v>"default_value":"no",</v>
      </c>
      <c r="R243" t="str">
        <f t="shared" si="23"/>
        <v>"docs_url":"https://looker.com/docs/r/lookml/types/explore_source/bind_all_filters?version=7.14&amp;lookml=new",</v>
      </c>
      <c r="S243" t="str">
        <f t="shared" si="24"/>
        <v>"has_allowed_values":False,</v>
      </c>
      <c r="T243" t="str">
        <f t="shared" si="25"/>
        <v>"allowed_values":""</v>
      </c>
    </row>
    <row r="244" spans="1:20" ht="13" x14ac:dyDescent="0.15">
      <c r="A244" s="7">
        <v>263</v>
      </c>
      <c r="B244" s="6" t="s">
        <v>132</v>
      </c>
      <c r="C244" s="6" t="s">
        <v>73</v>
      </c>
      <c r="D244" s="4" t="s">
        <v>541</v>
      </c>
      <c r="E244" s="4" t="s">
        <v>541</v>
      </c>
      <c r="F244" s="4">
        <v>4</v>
      </c>
      <c r="H244" s="4" t="s">
        <v>380</v>
      </c>
      <c r="I244" s="4" t="b">
        <v>0</v>
      </c>
      <c r="K244" s="4" t="b">
        <f>IF(COUNTIF($B$2:$B244,B244)&gt;1,TRUE,FALSE)</f>
        <v>0</v>
      </c>
      <c r="L244" t="str">
        <f>IF(
K244,"p["""&amp;B244&amp;"""].update({"&amp;""""&amp;C244&amp;""":{"&amp;_xlfn.CONCAT(N244:T244)&amp;"}})","p.update("&amp;M244&amp;")"
)</f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>"{"&amp;""""&amp;B244
&amp;""":{"&amp;""""&amp;C244&amp;""":{"&amp;_xlfn.CONCAT(N244:T244)&amp;"}}}"</f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20"/>
        <v>"type":"anonymous_construct_plural",</v>
      </c>
      <c r="O244" t="str">
        <f t="shared" si="21"/>
        <v>"subtype":"anonymous_construct_plural",</v>
      </c>
      <c r="P244" t="str">
        <f t="shared" si="22"/>
        <v>"indent":4,</v>
      </c>
      <c r="Q244" t="str">
        <f t="shared" si="26"/>
        <v>"default_value":"",</v>
      </c>
      <c r="R244" t="str">
        <f t="shared" si="23"/>
        <v>"docs_url":"https://looker.com/docs/r/lookml/types/explore_source/bind_filters?version=7.14&amp;lookml=new",</v>
      </c>
      <c r="S244" t="str">
        <f t="shared" si="24"/>
        <v>"has_allowed_values":False,</v>
      </c>
      <c r="T244" t="str">
        <f t="shared" si="25"/>
        <v>"allowed_values":""</v>
      </c>
    </row>
    <row r="245" spans="1:20" ht="13" x14ac:dyDescent="0.15">
      <c r="A245" s="7">
        <v>264</v>
      </c>
      <c r="B245" s="6" t="s">
        <v>490</v>
      </c>
      <c r="C245" s="6" t="s">
        <v>73</v>
      </c>
      <c r="D245" s="4" t="s">
        <v>539</v>
      </c>
      <c r="E245" s="4" t="s">
        <v>490</v>
      </c>
      <c r="F245" s="4">
        <v>4</v>
      </c>
      <c r="H245" s="4" t="s">
        <v>381</v>
      </c>
      <c r="I245" s="4" t="b">
        <v>0</v>
      </c>
      <c r="K245" s="4" t="b">
        <f>IF(COUNTIF($B$2:$B245,B245)&gt;1,TRUE,FALSE)</f>
        <v>0</v>
      </c>
      <c r="L245" t="str">
        <f>IF(
K245,"p["""&amp;B245&amp;"""].update({"&amp;""""&amp;C245&amp;""":{"&amp;_xlfn.CONCAT(N245:T245)&amp;"}})","p.update("&amp;M245&amp;")"
)</f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>"{"&amp;""""&amp;B245
&amp;""":{"&amp;""""&amp;C245&amp;""":{"&amp;_xlfn.CONCAT(N245:T245)&amp;"}}}"</f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20"/>
        <v>"type":"sorts",</v>
      </c>
      <c r="O245" t="str">
        <f t="shared" si="21"/>
        <v>"subtype":"field-ref-to-sort-map",</v>
      </c>
      <c r="P245" t="str">
        <f t="shared" si="22"/>
        <v>"indent":4,</v>
      </c>
      <c r="Q245" t="str">
        <f t="shared" si="26"/>
        <v>"default_value":"",</v>
      </c>
      <c r="R245" t="str">
        <f t="shared" si="23"/>
        <v>"docs_url":"https://looker.com/docs/r/lookml/types/explore_source/sorts?version=7.14&amp;lookml=new",</v>
      </c>
      <c r="S245" t="str">
        <f t="shared" si="24"/>
        <v>"has_allowed_values":False,</v>
      </c>
      <c r="T245" t="str">
        <f t="shared" si="25"/>
        <v>"allowed_values":""</v>
      </c>
    </row>
    <row r="246" spans="1:20" ht="13" x14ac:dyDescent="0.15">
      <c r="A246" s="7">
        <v>265</v>
      </c>
      <c r="B246" s="6" t="s">
        <v>491</v>
      </c>
      <c r="C246" s="6" t="s">
        <v>73</v>
      </c>
      <c r="D246" s="4" t="s">
        <v>551</v>
      </c>
      <c r="E246" s="4" t="s">
        <v>551</v>
      </c>
      <c r="F246" s="4">
        <v>4</v>
      </c>
      <c r="G246" s="4" t="s">
        <v>558</v>
      </c>
      <c r="H246" s="4" t="s">
        <v>382</v>
      </c>
      <c r="I246" s="4" t="b">
        <v>1</v>
      </c>
      <c r="J246" t="s">
        <v>561</v>
      </c>
      <c r="K246" s="4" t="b">
        <f>IF(COUNTIF($B$2:$B246,B246)&gt;1,TRUE,FALSE)</f>
        <v>0</v>
      </c>
      <c r="L246" t="str">
        <f>IF(
K246,"p["""&amp;B246&amp;"""].update({"&amp;""""&amp;C246&amp;""":{"&amp;_xlfn.CONCAT(N246:T246)&amp;"}})","p.update("&amp;M246&amp;")"
)</f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>"{"&amp;""""&amp;B246
&amp;""":{"&amp;""""&amp;C246&amp;""":{"&amp;_xlfn.CONCAT(N246:T246)&amp;"}}}"</f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20"/>
        <v>"type":"options",</v>
      </c>
      <c r="O246" t="str">
        <f t="shared" si="21"/>
        <v>"subtype":"options",</v>
      </c>
      <c r="P246" t="str">
        <f t="shared" si="22"/>
        <v>"indent":4,</v>
      </c>
      <c r="Q246" t="str">
        <f t="shared" si="26"/>
        <v>"default_value":"America/Los_Angeles",</v>
      </c>
      <c r="R246" t="str">
        <f t="shared" si="23"/>
        <v>"docs_url":"https://looker.com/docs/r/lookml/types/explore_source/timezone?version=7.14&amp;lookml=new",</v>
      </c>
      <c r="S246" t="str">
        <f t="shared" si="24"/>
        <v>"has_allowed_values":True,</v>
      </c>
      <c r="T246" t="str">
        <f t="shared" si="25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x14ac:dyDescent="0.15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596</v>
      </c>
      <c r="F247" s="4">
        <v>3</v>
      </c>
      <c r="H247" s="4" t="s">
        <v>383</v>
      </c>
      <c r="I247" s="4" t="b">
        <v>0</v>
      </c>
      <c r="K247" s="4" t="b">
        <f>IF(COUNTIF($B$2:$B247,B247)&gt;1,TRUE,FALSE)</f>
        <v>1</v>
      </c>
      <c r="L247" t="str">
        <f>IF(
K247,"p["""&amp;B247&amp;"""].update({"&amp;""""&amp;C247&amp;""":{"&amp;_xlfn.CONCAT(N247:T247)&amp;"}})","p.update("&amp;M247&amp;")"
)</f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>"{"&amp;""""&amp;B247
&amp;""":{"&amp;""""&amp;C247&amp;""":{"&amp;_xlfn.CONCAT(N247:T247)&amp;"}}}"</f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20"/>
        <v>"type":"list_unquoted",</v>
      </c>
      <c r="O247" t="str">
        <f t="shared" si="21"/>
        <v>"subtype":"field-ref",</v>
      </c>
      <c r="P247" t="str">
        <f t="shared" si="22"/>
        <v>"indent":3,</v>
      </c>
      <c r="Q247" t="str">
        <f t="shared" si="26"/>
        <v>"default_value":"",</v>
      </c>
      <c r="R247" t="str">
        <f t="shared" si="23"/>
        <v>"docs_url":"https://looker.com/docs/r/lookml/types/join/fields?version=7.14&amp;lookml=new",</v>
      </c>
      <c r="S247" t="str">
        <f t="shared" si="24"/>
        <v>"has_allowed_values":False,</v>
      </c>
      <c r="T247" t="str">
        <f t="shared" si="25"/>
        <v>"allowed_values":""</v>
      </c>
    </row>
    <row r="248" spans="1:20" ht="13" x14ac:dyDescent="0.15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599</v>
      </c>
      <c r="F248" s="4">
        <v>3</v>
      </c>
      <c r="H248" s="4" t="s">
        <v>384</v>
      </c>
      <c r="I248" s="4" t="b">
        <v>0</v>
      </c>
      <c r="K248" s="4" t="b">
        <f>IF(COUNTIF($B$2:$B248,B248)&gt;1,TRUE,FALSE)</f>
        <v>0</v>
      </c>
      <c r="L248" t="str">
        <f>IF(
K248,"p["""&amp;B248&amp;"""].update({"&amp;""""&amp;C248&amp;""":{"&amp;_xlfn.CONCAT(N248:T248)&amp;"}})","p.update("&amp;M248&amp;")"
)</f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>"{"&amp;""""&amp;B248
&amp;""":{"&amp;""""&amp;C248&amp;""":{"&amp;_xlfn.CONCAT(N248:T248)&amp;"}}}"</f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20"/>
        <v>"type":"string_unquoted",</v>
      </c>
      <c r="O248" t="str">
        <f t="shared" si="21"/>
        <v>"subtype":"field-ref",</v>
      </c>
      <c r="P248" t="str">
        <f t="shared" si="22"/>
        <v>"indent":3,</v>
      </c>
      <c r="Q248" t="str">
        <f t="shared" si="26"/>
        <v>"default_value":"",</v>
      </c>
      <c r="R248" t="str">
        <f t="shared" si="23"/>
        <v>"docs_url":"https://looker.com/docs/r/lookml/types/join/foreign_key?version=7.14&amp;lookml=new",</v>
      </c>
      <c r="S248" t="str">
        <f t="shared" si="24"/>
        <v>"has_allowed_values":False,</v>
      </c>
      <c r="T248" t="str">
        <f t="shared" si="25"/>
        <v>"allowed_values":""</v>
      </c>
    </row>
    <row r="249" spans="1:20" ht="13" x14ac:dyDescent="0.15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599</v>
      </c>
      <c r="F249" s="4">
        <v>3</v>
      </c>
      <c r="H249" s="4" t="s">
        <v>385</v>
      </c>
      <c r="I249" s="4" t="b">
        <v>0</v>
      </c>
      <c r="K249" s="4" t="b">
        <f>IF(COUNTIF($B$2:$B249,B249)&gt;1,TRUE,FALSE)</f>
        <v>1</v>
      </c>
      <c r="L249" t="str">
        <f>IF(
K249,"p["""&amp;B249&amp;"""].update({"&amp;""""&amp;C249&amp;""":{"&amp;_xlfn.CONCAT(N249:T249)&amp;"}})","p.update("&amp;M249&amp;")"
)</f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>"{"&amp;""""&amp;B249
&amp;""":{"&amp;""""&amp;C249&amp;""":{"&amp;_xlfn.CONCAT(N249:T249)&amp;"}}}"</f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20"/>
        <v>"type":"string_unquoted",</v>
      </c>
      <c r="O249" t="str">
        <f t="shared" si="21"/>
        <v>"subtype":"view-ref",</v>
      </c>
      <c r="P249" t="str">
        <f t="shared" si="22"/>
        <v>"indent":3,</v>
      </c>
      <c r="Q249" t="str">
        <f t="shared" si="26"/>
        <v>"default_value":"",</v>
      </c>
      <c r="R249" t="str">
        <f t="shared" si="23"/>
        <v>"docs_url":"https://looker.com/docs/r/lookml/types/join/from?version=7.14&amp;lookml=new",</v>
      </c>
      <c r="S249" t="str">
        <f t="shared" si="24"/>
        <v>"has_allowed_values":False,</v>
      </c>
      <c r="T249" t="str">
        <f t="shared" si="25"/>
        <v>"allowed_values":""</v>
      </c>
    </row>
    <row r="250" spans="1:20" ht="13" x14ac:dyDescent="0.15">
      <c r="A250" s="7">
        <v>271</v>
      </c>
      <c r="B250" s="6" t="s">
        <v>104</v>
      </c>
      <c r="C250" s="6" t="s">
        <v>96</v>
      </c>
      <c r="D250" s="4" t="s">
        <v>569</v>
      </c>
      <c r="E250" s="4" t="s">
        <v>569</v>
      </c>
      <c r="F250" s="4">
        <v>3</v>
      </c>
      <c r="G250" s="4" t="s">
        <v>604</v>
      </c>
      <c r="H250" s="4" t="s">
        <v>386</v>
      </c>
      <c r="I250" s="4" t="b">
        <v>0</v>
      </c>
      <c r="K250" s="4" t="b">
        <f>IF(COUNTIF($B$2:$B250,B250)&gt;1,TRUE,FALSE)</f>
        <v>0</v>
      </c>
      <c r="L250" t="str">
        <f>IF(
K250,"p["""&amp;B250&amp;"""].update({"&amp;""""&amp;C250&amp;""":{"&amp;_xlfn.CONCAT(N250:T250)&amp;"}})","p.update("&amp;M250&amp;")"
)</f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>"{"&amp;""""&amp;B250
&amp;""":{"&amp;""""&amp;C250&amp;""":{"&amp;_xlfn.CONCAT(N250:T250)&amp;"}}}"</f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20"/>
        <v>"type":"yesno",</v>
      </c>
      <c r="O250" t="str">
        <f t="shared" si="21"/>
        <v>"subtype":"yesno",</v>
      </c>
      <c r="P250" t="str">
        <f t="shared" si="22"/>
        <v>"indent":3,</v>
      </c>
      <c r="Q250" t="str">
        <f t="shared" si="26"/>
        <v>"default_value":"no",</v>
      </c>
      <c r="R250" t="str">
        <f t="shared" si="23"/>
        <v>"docs_url":"https://looker.com/docs/r/lookml/types/join/outer_only?version=7.14&amp;lookml=new",</v>
      </c>
      <c r="S250" t="str">
        <f t="shared" si="24"/>
        <v>"has_allowed_values":False,</v>
      </c>
      <c r="T250" t="str">
        <f t="shared" si="25"/>
        <v>"allowed_values":""</v>
      </c>
    </row>
    <row r="251" spans="1:20" ht="13" x14ac:dyDescent="0.15">
      <c r="A251" s="7">
        <v>272</v>
      </c>
      <c r="B251" s="6" t="s">
        <v>105</v>
      </c>
      <c r="C251" s="6" t="s">
        <v>96</v>
      </c>
      <c r="D251" s="4" t="s">
        <v>551</v>
      </c>
      <c r="E251" s="4" t="s">
        <v>551</v>
      </c>
      <c r="F251" s="4">
        <v>3</v>
      </c>
      <c r="G251" s="4" t="s">
        <v>602</v>
      </c>
      <c r="H251" s="4" t="s">
        <v>387</v>
      </c>
      <c r="I251" s="4" t="b">
        <v>1</v>
      </c>
      <c r="J251" s="4" t="s">
        <v>603</v>
      </c>
      <c r="K251" s="4" t="b">
        <f>IF(COUNTIF($B$2:$B251,B251)&gt;1,TRUE,FALSE)</f>
        <v>0</v>
      </c>
      <c r="L251" t="str">
        <f>IF(
K251,"p["""&amp;B251&amp;"""].update({"&amp;""""&amp;C251&amp;""":{"&amp;_xlfn.CONCAT(N251:T251)&amp;"}})","p.update("&amp;M251&amp;")"
)</f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>"{"&amp;""""&amp;B251
&amp;""":{"&amp;""""&amp;C251&amp;""":{"&amp;_xlfn.CONCAT(N251:T251)&amp;"}}}"</f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20"/>
        <v>"type":"options",</v>
      </c>
      <c r="O251" t="str">
        <f t="shared" si="21"/>
        <v>"subtype":"options",</v>
      </c>
      <c r="P251" t="str">
        <f t="shared" si="22"/>
        <v>"indent":3,</v>
      </c>
      <c r="Q251" t="str">
        <f t="shared" si="26"/>
        <v>"default_value":"many_to_one",</v>
      </c>
      <c r="R251" t="str">
        <f t="shared" si="23"/>
        <v>"docs_url":"https://looker.com/docs/r/lookml/types/join/relationship?version=7.14&amp;lookml=new",</v>
      </c>
      <c r="S251" t="str">
        <f t="shared" si="24"/>
        <v>"has_allowed_values":True,</v>
      </c>
      <c r="T251" t="str">
        <f t="shared" si="25"/>
        <v>"allowed_values":["many_to_one", "many_to_many", "one_to_many", "one_to_one"]</v>
      </c>
    </row>
    <row r="252" spans="1:20" ht="13" x14ac:dyDescent="0.15">
      <c r="A252" s="7">
        <v>273</v>
      </c>
      <c r="B252" s="6" t="s">
        <v>31</v>
      </c>
      <c r="C252" s="6" t="s">
        <v>96</v>
      </c>
      <c r="D252" s="4" t="s">
        <v>612</v>
      </c>
      <c r="E252" s="4" t="s">
        <v>596</v>
      </c>
      <c r="F252" s="4">
        <v>3</v>
      </c>
      <c r="H252" s="4" t="s">
        <v>388</v>
      </c>
      <c r="I252" s="4" t="b">
        <v>0</v>
      </c>
      <c r="K252" s="4" t="b">
        <f>IF(COUNTIF($B$2:$B252,B252)&gt;1,TRUE,FALSE)</f>
        <v>1</v>
      </c>
      <c r="L252" t="str">
        <f>IF(
K252,"p["""&amp;B252&amp;"""].update({"&amp;""""&amp;C252&amp;""":{"&amp;_xlfn.CONCAT(N252:T252)&amp;"}})","p.update("&amp;M252&amp;")"
)</f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>"{"&amp;""""&amp;B252
&amp;""":{"&amp;""""&amp;C252&amp;""":{"&amp;_xlfn.CONCAT(N252:T252)&amp;"}}}"</f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20"/>
        <v>"type":"list_unquoted",</v>
      </c>
      <c r="O252" t="str">
        <f t="shared" si="21"/>
        <v>"subtype":"access-grant-ref",</v>
      </c>
      <c r="P252" t="str">
        <f t="shared" si="22"/>
        <v>"indent":3,</v>
      </c>
      <c r="Q252" t="str">
        <f t="shared" si="26"/>
        <v>"default_value":"",</v>
      </c>
      <c r="R252" t="str">
        <f t="shared" si="23"/>
        <v>"docs_url":"https://looker.com/docs/r/lookml/types/join/required_access_grants?version=7.14&amp;lookml=new",</v>
      </c>
      <c r="S252" t="str">
        <f t="shared" si="24"/>
        <v>"has_allowed_values":False,</v>
      </c>
      <c r="T252" t="str">
        <f t="shared" si="25"/>
        <v>"allowed_values":""</v>
      </c>
    </row>
    <row r="253" spans="1:20" ht="13" x14ac:dyDescent="0.15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596</v>
      </c>
      <c r="F253" s="4">
        <v>3</v>
      </c>
      <c r="H253" s="4" t="s">
        <v>389</v>
      </c>
      <c r="I253" s="4" t="b">
        <v>0</v>
      </c>
      <c r="K253" s="4" t="b">
        <f>IF(COUNTIF($B$2:$B253,B253)&gt;1,TRUE,FALSE)</f>
        <v>0</v>
      </c>
      <c r="L253" t="str">
        <f>IF(
K253,"p["""&amp;B253&amp;"""].update({"&amp;""""&amp;C253&amp;""":{"&amp;_xlfn.CONCAT(N253:T253)&amp;"}})","p.update("&amp;M253&amp;")"
)</f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>"{"&amp;""""&amp;B253
&amp;""":{"&amp;""""&amp;C253&amp;""":{"&amp;_xlfn.CONCAT(N253:T253)&amp;"}}}"</f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20"/>
        <v>"type":"list_unquoted",</v>
      </c>
      <c r="O253" t="str">
        <f t="shared" si="21"/>
        <v>"subtype":"view-ref",</v>
      </c>
      <c r="P253" t="str">
        <f t="shared" si="22"/>
        <v>"indent":3,</v>
      </c>
      <c r="Q253" t="str">
        <f t="shared" si="26"/>
        <v>"default_value":"",</v>
      </c>
      <c r="R253" t="str">
        <f t="shared" si="23"/>
        <v>"docs_url":"https://looker.com/docs/r/lookml/types/join/required_joins?version=7.14&amp;lookml=new",</v>
      </c>
      <c r="S253" t="str">
        <f t="shared" si="24"/>
        <v>"has_allowed_values":False,</v>
      </c>
      <c r="T253" t="str">
        <f t="shared" si="25"/>
        <v>"allowed_values":""</v>
      </c>
    </row>
    <row r="254" spans="1:20" ht="13" x14ac:dyDescent="0.15">
      <c r="A254" s="7">
        <v>275</v>
      </c>
      <c r="B254" s="6" t="s">
        <v>34</v>
      </c>
      <c r="C254" s="6" t="s">
        <v>96</v>
      </c>
      <c r="D254" s="4" t="s">
        <v>613</v>
      </c>
      <c r="E254" s="4" t="s">
        <v>34</v>
      </c>
      <c r="F254" s="4">
        <v>3</v>
      </c>
      <c r="G254" s="4" t="s">
        <v>592</v>
      </c>
      <c r="H254" s="4" t="s">
        <v>390</v>
      </c>
      <c r="I254" s="4" t="b">
        <v>0</v>
      </c>
      <c r="K254" s="4" t="b">
        <f>IF(COUNTIF($B$2:$B254,B254)&gt;1,TRUE,FALSE)</f>
        <v>1</v>
      </c>
      <c r="L254" t="str">
        <f>IF(
K254,"p["""&amp;B254&amp;"""].update({"&amp;""""&amp;C254&amp;""":{"&amp;_xlfn.CONCAT(N254:T254)&amp;"}})","p.update("&amp;M254&amp;")"
)</f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>"{"&amp;""""&amp;B254
&amp;""":{"&amp;""""&amp;C254&amp;""":{"&amp;_xlfn.CONCAT(N254:T254)&amp;"}}}"</f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20"/>
        <v>"type":"sql",</v>
      </c>
      <c r="O254" t="str">
        <f t="shared" si="21"/>
        <v>"subtype":"sql-block ",</v>
      </c>
      <c r="P254" t="str">
        <f t="shared" si="22"/>
        <v>"indent":3,</v>
      </c>
      <c r="Q254" t="str">
        <f t="shared" si="26"/>
        <v>"default_value":"",</v>
      </c>
      <c r="R254" t="str">
        <f t="shared" si="23"/>
        <v>"docs_url":"https://looker.com/docs/r/lookml/types/join/sql?version=7.14&amp;lookml=new",</v>
      </c>
      <c r="S254" t="str">
        <f t="shared" si="24"/>
        <v>"has_allowed_values":False,</v>
      </c>
      <c r="T254" t="str">
        <f t="shared" si="25"/>
        <v>"allowed_values":""</v>
      </c>
    </row>
    <row r="255" spans="1:20" ht="13" x14ac:dyDescent="0.15">
      <c r="A255" s="7">
        <v>276</v>
      </c>
      <c r="B255" s="6" t="s">
        <v>107</v>
      </c>
      <c r="C255" s="6" t="s">
        <v>96</v>
      </c>
      <c r="D255" s="4" t="s">
        <v>613</v>
      </c>
      <c r="E255" s="4" t="s">
        <v>34</v>
      </c>
      <c r="F255" s="4">
        <v>3</v>
      </c>
      <c r="G255" s="4" t="s">
        <v>592</v>
      </c>
      <c r="H255" s="4" t="s">
        <v>391</v>
      </c>
      <c r="I255" s="4" t="b">
        <v>0</v>
      </c>
      <c r="K255" s="4" t="b">
        <f>IF(COUNTIF($B$2:$B255,B255)&gt;1,TRUE,FALSE)</f>
        <v>0</v>
      </c>
      <c r="L255" t="str">
        <f>IF(
K255,"p["""&amp;B255&amp;"""].update({"&amp;""""&amp;C255&amp;""":{"&amp;_xlfn.CONCAT(N255:T255)&amp;"}})","p.update("&amp;M255&amp;")"
)</f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>"{"&amp;""""&amp;B255
&amp;""":{"&amp;""""&amp;C255&amp;""":{"&amp;_xlfn.CONCAT(N255:T255)&amp;"}}}"</f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20"/>
        <v>"type":"sql",</v>
      </c>
      <c r="O255" t="str">
        <f t="shared" si="21"/>
        <v>"subtype":"sql-block ",</v>
      </c>
      <c r="P255" t="str">
        <f t="shared" si="22"/>
        <v>"indent":3,</v>
      </c>
      <c r="Q255" t="str">
        <f t="shared" si="26"/>
        <v>"default_value":"",</v>
      </c>
      <c r="R255" t="str">
        <f t="shared" si="23"/>
        <v>"docs_url":"https://looker.com/docs/r/lookml/types/join/sql_foreign_key?version=7.14&amp;lookml=new",</v>
      </c>
      <c r="S255" t="str">
        <f t="shared" si="24"/>
        <v>"has_allowed_values":False,</v>
      </c>
      <c r="T255" t="str">
        <f t="shared" si="25"/>
        <v>"allowed_values":""</v>
      </c>
    </row>
    <row r="256" spans="1:20" ht="13" x14ac:dyDescent="0.15">
      <c r="A256" s="7">
        <v>277</v>
      </c>
      <c r="B256" s="6" t="s">
        <v>108</v>
      </c>
      <c r="C256" s="6" t="s">
        <v>96</v>
      </c>
      <c r="D256" s="4" t="s">
        <v>613</v>
      </c>
      <c r="E256" s="4" t="s">
        <v>34</v>
      </c>
      <c r="F256" s="4">
        <v>3</v>
      </c>
      <c r="G256" s="4" t="s">
        <v>592</v>
      </c>
      <c r="H256" s="4" t="s">
        <v>392</v>
      </c>
      <c r="I256" s="4" t="b">
        <v>0</v>
      </c>
      <c r="K256" s="4" t="b">
        <f>IF(COUNTIF($B$2:$B256,B256)&gt;1,TRUE,FALSE)</f>
        <v>0</v>
      </c>
      <c r="L256" t="str">
        <f>IF(
K256,"p["""&amp;B256&amp;"""].update({"&amp;""""&amp;C256&amp;""":{"&amp;_xlfn.CONCAT(N256:T256)&amp;"}})","p.update("&amp;M256&amp;")"
)</f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>"{"&amp;""""&amp;B256
&amp;""":{"&amp;""""&amp;C256&amp;""":{"&amp;_xlfn.CONCAT(N256:T256)&amp;"}}}"</f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20"/>
        <v>"type":"sql",</v>
      </c>
      <c r="O256" t="str">
        <f t="shared" si="21"/>
        <v>"subtype":"sql-block ",</v>
      </c>
      <c r="P256" t="str">
        <f t="shared" si="22"/>
        <v>"indent":3,</v>
      </c>
      <c r="Q256" t="str">
        <f t="shared" si="26"/>
        <v>"default_value":"",</v>
      </c>
      <c r="R256" t="str">
        <f t="shared" si="23"/>
        <v>"docs_url":"https://looker.com/docs/r/lookml/types/join/sql_on?version=7.14&amp;lookml=new",</v>
      </c>
      <c r="S256" t="str">
        <f t="shared" si="24"/>
        <v>"has_allowed_values":False,</v>
      </c>
      <c r="T256" t="str">
        <f t="shared" si="25"/>
        <v>"allowed_values":""</v>
      </c>
    </row>
    <row r="257" spans="1:20" ht="13" x14ac:dyDescent="0.15">
      <c r="A257" s="7">
        <v>278</v>
      </c>
      <c r="B257" s="6" t="s">
        <v>100</v>
      </c>
      <c r="C257" s="6" t="s">
        <v>96</v>
      </c>
      <c r="D257" s="4" t="s">
        <v>613</v>
      </c>
      <c r="E257" s="4" t="s">
        <v>34</v>
      </c>
      <c r="F257" s="4">
        <v>3</v>
      </c>
      <c r="G257" s="4" t="s">
        <v>592</v>
      </c>
      <c r="H257" s="4" t="s">
        <v>393</v>
      </c>
      <c r="I257" s="4" t="b">
        <v>0</v>
      </c>
      <c r="K257" s="4" t="b">
        <f>IF(COUNTIF($B$2:$B257,B257)&gt;1,TRUE,FALSE)</f>
        <v>1</v>
      </c>
      <c r="L257" t="str">
        <f>IF(
K257,"p["""&amp;B257&amp;"""].update({"&amp;""""&amp;C257&amp;""":{"&amp;_xlfn.CONCAT(N257:T257)&amp;"}})","p.update("&amp;M257&amp;")"
)</f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>"{"&amp;""""&amp;B257
&amp;""":{"&amp;""""&amp;C257&amp;""":{"&amp;_xlfn.CONCAT(N257:T257)&amp;"}}}"</f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20"/>
        <v>"type":"sql",</v>
      </c>
      <c r="O257" t="str">
        <f t="shared" si="21"/>
        <v>"subtype":"sql-block ",</v>
      </c>
      <c r="P257" t="str">
        <f t="shared" si="22"/>
        <v>"indent":3,</v>
      </c>
      <c r="Q257" t="str">
        <f t="shared" si="26"/>
        <v>"default_value":"",</v>
      </c>
      <c r="R257" t="str">
        <f t="shared" si="23"/>
        <v>"docs_url":"https://looker.com/docs/r/lookml/types/join/sql_table_name?version=7.14&amp;lookml=new",</v>
      </c>
      <c r="S257" t="str">
        <f t="shared" si="24"/>
        <v>"has_allowed_values":False,</v>
      </c>
      <c r="T257" t="str">
        <f t="shared" si="25"/>
        <v>"allowed_values":""</v>
      </c>
    </row>
    <row r="258" spans="1:20" ht="13" x14ac:dyDescent="0.15">
      <c r="A258" s="7">
        <v>279</v>
      </c>
      <c r="B258" s="6" t="s">
        <v>109</v>
      </c>
      <c r="C258" s="6" t="s">
        <v>96</v>
      </c>
      <c r="D258" s="4" t="s">
        <v>613</v>
      </c>
      <c r="E258" s="4" t="s">
        <v>34</v>
      </c>
      <c r="F258" s="4">
        <v>3</v>
      </c>
      <c r="G258" s="4" t="s">
        <v>592</v>
      </c>
      <c r="H258" s="4" t="s">
        <v>394</v>
      </c>
      <c r="I258" s="4" t="b">
        <v>0</v>
      </c>
      <c r="K258" s="4" t="b">
        <f>IF(COUNTIF($B$2:$B258,B258)&gt;1,TRUE,FALSE)</f>
        <v>0</v>
      </c>
      <c r="L258" t="str">
        <f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20"/>
        <v>"type":"sql",</v>
      </c>
      <c r="O258" t="str">
        <f t="shared" si="21"/>
        <v>"subtype":"sql-block ",</v>
      </c>
      <c r="P258" t="str">
        <f t="shared" si="22"/>
        <v>"indent":3,</v>
      </c>
      <c r="Q258" t="str">
        <f t="shared" si="26"/>
        <v>"default_value":"",</v>
      </c>
      <c r="R258" t="str">
        <f t="shared" si="23"/>
        <v>"docs_url":"https://looker.com/docs/r/lookml/types/join/sql_where?version=7.14&amp;lookml=new",</v>
      </c>
      <c r="S258" t="str">
        <f t="shared" si="24"/>
        <v>"has_allowed_values":False,</v>
      </c>
      <c r="T258" t="str">
        <f t="shared" si="25"/>
        <v>"allowed_values":""</v>
      </c>
    </row>
    <row r="259" spans="1:20" ht="13" x14ac:dyDescent="0.15">
      <c r="A259" s="7">
        <v>280</v>
      </c>
      <c r="B259" s="6" t="s">
        <v>49</v>
      </c>
      <c r="C259" s="6" t="s">
        <v>96</v>
      </c>
      <c r="D259" s="4" t="s">
        <v>551</v>
      </c>
      <c r="E259" s="4" t="s">
        <v>551</v>
      </c>
      <c r="F259" s="4">
        <v>3</v>
      </c>
      <c r="G259" s="4" t="s">
        <v>559</v>
      </c>
      <c r="H259" s="4" t="s">
        <v>395</v>
      </c>
      <c r="I259" s="4" t="b">
        <v>1</v>
      </c>
      <c r="J259" s="4" t="s">
        <v>560</v>
      </c>
      <c r="K259" s="4" t="b">
        <f>IF(COUNTIF($B$2:$B259,B259)&gt;1,TRUE,FALSE)</f>
        <v>1</v>
      </c>
      <c r="L259" t="str">
        <f>IF(
K259,"p["""&amp;B259&amp;"""].update({"&amp;""""&amp;C259&amp;""":{"&amp;_xlfn.CONCAT(N259:T259)&amp;"}})","p.update("&amp;M259&amp;")"
)</f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>"{"&amp;""""&amp;B259
&amp;""":{"&amp;""""&amp;C259&amp;""":{"&amp;_xlfn.CONCAT(N259:T259)&amp;"}}}"</f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O322" si="27">"""type"":"&amp;""""&amp;E259&amp;""","</f>
        <v>"type":"options",</v>
      </c>
      <c r="O259" t="str">
        <f t="shared" ref="O259:O322" si="28">"""subtype"":"&amp;""""&amp;D259&amp;""","</f>
        <v>"subtype":"options",</v>
      </c>
      <c r="P259" t="str">
        <f t="shared" ref="P259:P322" si="29">"""indent"":"&amp;F259&amp;","</f>
        <v>"indent":3,</v>
      </c>
      <c r="Q259" t="str">
        <f t="shared" si="26"/>
        <v>"default_value":"left_outer",</v>
      </c>
      <c r="R259" t="str">
        <f t="shared" ref="R259:R322" si="30">"""docs_url"":"&amp;""""&amp;H259&amp;""","</f>
        <v>"docs_url":"https://looker.com/docs/r/lookml/types/join/type?version=7.14&amp;lookml=new",</v>
      </c>
      <c r="S259" t="str">
        <f t="shared" ref="S259:S322" si="31">"""has_allowed_values"":"&amp;IF(I259,"True,","False"&amp;",")</f>
        <v>"has_allowed_values":True,</v>
      </c>
      <c r="T259" t="str">
        <f t="shared" ref="T259:T322" si="32">"""allowed_values"":"&amp;IF(J259&lt;&gt;"",J259,"""""")</f>
        <v>"allowed_values":["cross", "full_outer", "inner", "left_outer"]</v>
      </c>
    </row>
    <row r="260" spans="1:20" ht="13" x14ac:dyDescent="0.15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592</v>
      </c>
      <c r="H260" s="4" t="s">
        <v>396</v>
      </c>
      <c r="I260" s="4" t="b">
        <v>0</v>
      </c>
      <c r="K260" s="4" t="b">
        <f>IF(COUNTIF($B$2:$B260,B260)&gt;1,TRUE,FALSE)</f>
        <v>1</v>
      </c>
      <c r="L260" t="str">
        <f>IF(
K260,"p["""&amp;B260&amp;"""].update({"&amp;""""&amp;C260&amp;""":{"&amp;_xlfn.CONCAT(N260:T260)&amp;"}})","p.update("&amp;M260&amp;")"
)</f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>"{"&amp;""""&amp;B260
&amp;""":{"&amp;""""&amp;C260&amp;""":{"&amp;_xlfn.CONCAT(N260:T260)&amp;"}}}"</f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27"/>
        <v>"type":"string",</v>
      </c>
      <c r="O260" t="str">
        <f t="shared" si="28"/>
        <v>"subtype":"possibly-localized-string",</v>
      </c>
      <c r="P260" t="str">
        <f t="shared" si="29"/>
        <v>"indent":3,</v>
      </c>
      <c r="Q260" t="str">
        <f t="shared" si="26"/>
        <v>"default_value":"",</v>
      </c>
      <c r="R260" t="str">
        <f t="shared" si="30"/>
        <v>"docs_url":"https://looker.com/docs/r/lookml/types/join/view_label?version=7.14&amp;lookml=new",</v>
      </c>
      <c r="S260" t="str">
        <f t="shared" si="31"/>
        <v>"has_allowed_values":False,</v>
      </c>
      <c r="T260" t="str">
        <f t="shared" si="32"/>
        <v>"allowed_values":""</v>
      </c>
    </row>
    <row r="261" spans="1:20" ht="13" x14ac:dyDescent="0.15">
      <c r="A261" s="7">
        <v>284</v>
      </c>
      <c r="B261" s="6" t="s">
        <v>112</v>
      </c>
      <c r="C261" s="6" t="s">
        <v>84</v>
      </c>
      <c r="D261" s="4" t="s">
        <v>540</v>
      </c>
      <c r="E261" s="4" t="s">
        <v>540</v>
      </c>
      <c r="F261" s="4">
        <v>3</v>
      </c>
      <c r="H261" s="4" t="s">
        <v>397</v>
      </c>
      <c r="I261" s="4" t="b">
        <v>0</v>
      </c>
      <c r="K261" s="4" t="b">
        <f>IF(COUNTIF($B$2:$B261,B261)&gt;1,TRUE,FALSE)</f>
        <v>0</v>
      </c>
      <c r="L261" t="str">
        <f>IF(
K261,"p["""&amp;B261&amp;"""].update({"&amp;""""&amp;C261&amp;""":{"&amp;_xlfn.CONCAT(N261:T261)&amp;"}})","p.update("&amp;M261&amp;")"
)</f>
        <v>p.update({"query":{"aggregate_table":{"type":"anonymous_construct","subtype":"anonymous_construct","indent":3,"default_value":"","docs_url":"https://looker.com/docs/r/lookml/types/aggregate_table/query?version=7.14&amp;lookml=new","has_allowed_values":False,"allowed_values":""}}})</v>
      </c>
      <c r="M261" t="str">
        <f>"{"&amp;""""&amp;B261
&amp;""":{"&amp;""""&amp;C261&amp;""":{"&amp;_xlfn.CONCAT(N261:T261)&amp;"}}}"</f>
        <v>{"query":{"aggregate_table":{"type":"anonymous_construct","subtype":"anonymous_construct","indent":3,"default_value":"","docs_url":"https://looker.com/docs/r/lookml/types/aggregate_table/query?version=7.14&amp;lookml=new","has_allowed_values":False,"allowed_values":""}}}</v>
      </c>
      <c r="N261" t="str">
        <f t="shared" si="27"/>
        <v>"type":"anonymous_construct",</v>
      </c>
      <c r="O261" t="str">
        <f t="shared" si="28"/>
        <v>"subtype":"anonymous_construct",</v>
      </c>
      <c r="P261" t="str">
        <f t="shared" si="29"/>
        <v>"indent":3,</v>
      </c>
      <c r="Q261" t="str">
        <f t="shared" si="26"/>
        <v>"default_value":"",</v>
      </c>
      <c r="R261" t="str">
        <f t="shared" si="30"/>
        <v>"docs_url":"https://looker.com/docs/r/lookml/types/aggregate_table/query?version=7.14&amp;lookml=new",</v>
      </c>
      <c r="S261" t="str">
        <f t="shared" si="31"/>
        <v>"has_allowed_values":False,</v>
      </c>
      <c r="T261" t="str">
        <f t="shared" si="32"/>
        <v>"allowed_values":""</v>
      </c>
    </row>
    <row r="262" spans="1:20" ht="13" x14ac:dyDescent="0.15">
      <c r="A262" s="7">
        <v>285</v>
      </c>
      <c r="B262" s="6" t="s">
        <v>113</v>
      </c>
      <c r="C262" s="6" t="s">
        <v>84</v>
      </c>
      <c r="D262" s="4" t="s">
        <v>540</v>
      </c>
      <c r="E262" s="4" t="s">
        <v>540</v>
      </c>
      <c r="F262" s="4">
        <v>3</v>
      </c>
      <c r="H262" s="4" t="s">
        <v>398</v>
      </c>
      <c r="I262" s="4" t="b">
        <v>0</v>
      </c>
      <c r="K262" s="4" t="b">
        <f>IF(COUNTIF($B$2:$B262,B262)&gt;1,TRUE,FALSE)</f>
        <v>0</v>
      </c>
      <c r="L262" t="str">
        <f>IF(
K262,"p["""&amp;B262&amp;"""].update({"&amp;""""&amp;C262&amp;""":{"&amp;_xlfn.CONCAT(N262:T262)&amp;"}})","p.update("&amp;M262&amp;")"
)</f>
        <v>p.update({"materialization":{"aggregate_table":{"type":"anonymous_construct","subtype":"anonymous_construct","indent":3,"default_value":"","docs_url":"https://looker.com/docs/r/lookml/types/aggregate_table/materialization?version=7.14&amp;lookml=new","has_allowed_values":False,"allowed_values":""}}})</v>
      </c>
      <c r="M262" t="str">
        <f>"{"&amp;""""&amp;B262
&amp;""":{"&amp;""""&amp;C262&amp;""":{"&amp;_xlfn.CONCAT(N262:T262)&amp;"}}}"</f>
        <v>{"materialization":{"aggregate_table":{"type":"anonymous_construct","subtype":"anonymous_construct","indent":3,"default_value":"","docs_url":"https://looker.com/docs/r/lookml/types/aggregate_table/materialization?version=7.14&amp;lookml=new","has_allowed_values":False,"allowed_values":""}}}</v>
      </c>
      <c r="N262" t="str">
        <f t="shared" si="27"/>
        <v>"type":"anonymous_construct",</v>
      </c>
      <c r="O262" t="str">
        <f t="shared" si="28"/>
        <v>"subtype":"anonymous_construct",</v>
      </c>
      <c r="P262" t="str">
        <f t="shared" si="29"/>
        <v>"indent":3,</v>
      </c>
      <c r="Q262" t="str">
        <f t="shared" si="26"/>
        <v>"default_value":"",</v>
      </c>
      <c r="R262" t="str">
        <f t="shared" si="30"/>
        <v>"docs_url":"https://looker.com/docs/r/lookml/types/aggregate_table/materialization?version=7.14&amp;lookml=new",</v>
      </c>
      <c r="S262" t="str">
        <f t="shared" si="31"/>
        <v>"has_allowed_values":False,</v>
      </c>
      <c r="T262" t="str">
        <f t="shared" si="32"/>
        <v>"allowed_values":""</v>
      </c>
    </row>
    <row r="263" spans="1:20" ht="13" x14ac:dyDescent="0.15">
      <c r="A263" s="7">
        <v>288</v>
      </c>
      <c r="B263" s="6" t="s">
        <v>492</v>
      </c>
      <c r="C263" s="6" t="s">
        <v>112</v>
      </c>
      <c r="D263" s="4" t="s">
        <v>17</v>
      </c>
      <c r="E263" s="4" t="s">
        <v>596</v>
      </c>
      <c r="F263" s="4">
        <v>4</v>
      </c>
      <c r="H263" s="4" t="s">
        <v>399</v>
      </c>
      <c r="I263" s="4" t="b">
        <v>0</v>
      </c>
      <c r="K263" s="4" t="b">
        <f>IF(COUNTIF($B$2:$B263,B263)&gt;1,TRUE,FALSE)</f>
        <v>0</v>
      </c>
      <c r="L263" t="str">
        <f>IF(
K263,"p["""&amp;B263&amp;"""].update({"&amp;""""&amp;C263&amp;""":{"&amp;_xlfn.CONCAT(N263:T263)&amp;"}})","p.update("&amp;M263&amp;")"
)</f>
        <v>p.update({"dimensions":{"query":{"type":"list_unquoted","subtype":"field-ref","indent":4,"default_value":"","docs_url":"https://looker.com/docs/r/lookml/types/query/dimensions?version=7.14&amp;lookml=new","has_allowed_values":False,"allowed_values":""}}})</v>
      </c>
      <c r="M263" t="str">
        <f>"{"&amp;""""&amp;B263
&amp;""":{"&amp;""""&amp;C263&amp;""":{"&amp;_xlfn.CONCAT(N263:T263)&amp;"}}}"</f>
        <v>{"dimensions":{"query":{"type":"list_unquoted","subtype":"field-ref","indent":4,"default_value":"","docs_url":"https://looker.com/docs/r/lookml/types/query/dimensions?version=7.14&amp;lookml=new","has_allowed_values":False,"allowed_values":""}}}</v>
      </c>
      <c r="N263" t="str">
        <f t="shared" si="27"/>
        <v>"type":"list_unquoted",</v>
      </c>
      <c r="O263" t="str">
        <f t="shared" si="28"/>
        <v>"subtype":"field-ref",</v>
      </c>
      <c r="P263" t="str">
        <f t="shared" si="29"/>
        <v>"indent":4,</v>
      </c>
      <c r="Q263" t="str">
        <f t="shared" si="26"/>
        <v>"default_value":"",</v>
      </c>
      <c r="R263" t="str">
        <f t="shared" si="30"/>
        <v>"docs_url":"https://looker.com/docs/r/lookml/types/query/dimensions?version=7.14&amp;lookml=new",</v>
      </c>
      <c r="S263" t="str">
        <f t="shared" si="31"/>
        <v>"has_allowed_values":False,</v>
      </c>
      <c r="T263" t="str">
        <f t="shared" si="32"/>
        <v>"allowed_values":""</v>
      </c>
    </row>
    <row r="264" spans="1:20" ht="13" x14ac:dyDescent="0.15">
      <c r="A264" s="7">
        <v>289</v>
      </c>
      <c r="B264" s="6" t="s">
        <v>493</v>
      </c>
      <c r="C264" s="6" t="s">
        <v>112</v>
      </c>
      <c r="D264" s="4" t="s">
        <v>17</v>
      </c>
      <c r="E264" s="4" t="s">
        <v>596</v>
      </c>
      <c r="F264" s="4">
        <v>4</v>
      </c>
      <c r="H264" s="4" t="s">
        <v>400</v>
      </c>
      <c r="I264" s="4" t="b">
        <v>0</v>
      </c>
      <c r="K264" s="4" t="b">
        <f>IF(COUNTIF($B$2:$B264,B264)&gt;1,TRUE,FALSE)</f>
        <v>0</v>
      </c>
      <c r="L264" t="str">
        <f>IF(
K264,"p["""&amp;B264&amp;"""].update({"&amp;""""&amp;C264&amp;""":{"&amp;_xlfn.CONCAT(N264:T264)&amp;"}})","p.update("&amp;M264&amp;")"
)</f>
        <v>p.update({"measures":{"query":{"type":"list_unquoted","subtype":"field-ref","indent":4,"default_value":"","docs_url":"https://looker.com/docs/r/lookml/types/query/measures?version=7.14&amp;lookml=new","has_allowed_values":False,"allowed_values":""}}})</v>
      </c>
      <c r="M264" t="str">
        <f>"{"&amp;""""&amp;B264
&amp;""":{"&amp;""""&amp;C264&amp;""":{"&amp;_xlfn.CONCAT(N264:T264)&amp;"}}}"</f>
        <v>{"measures":{"query":{"type":"list_unquoted","subtype":"field-ref","indent":4,"default_value":"","docs_url":"https://looker.com/docs/r/lookml/types/query/measures?version=7.14&amp;lookml=new","has_allowed_values":False,"allowed_values":""}}}</v>
      </c>
      <c r="N264" t="str">
        <f t="shared" si="27"/>
        <v>"type":"list_unquoted",</v>
      </c>
      <c r="O264" t="str">
        <f t="shared" si="28"/>
        <v>"subtype":"field-ref",</v>
      </c>
      <c r="P264" t="str">
        <f t="shared" si="29"/>
        <v>"indent":4,</v>
      </c>
      <c r="Q264" t="str">
        <f t="shared" si="26"/>
        <v>"default_value":"",</v>
      </c>
      <c r="R264" t="str">
        <f t="shared" si="30"/>
        <v>"docs_url":"https://looker.com/docs/r/lookml/types/query/measures?version=7.14&amp;lookml=new",</v>
      </c>
      <c r="S264" t="str">
        <f t="shared" si="31"/>
        <v>"has_allowed_values":False,</v>
      </c>
      <c r="T264" t="str">
        <f t="shared" si="32"/>
        <v>"allowed_values":""</v>
      </c>
    </row>
    <row r="265" spans="1:20" ht="13" x14ac:dyDescent="0.15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4</v>
      </c>
      <c r="G265" s="4" t="s">
        <v>592</v>
      </c>
      <c r="H265" s="4" t="s">
        <v>401</v>
      </c>
      <c r="I265" s="4" t="b">
        <v>0</v>
      </c>
      <c r="K265" s="4" t="b">
        <f>IF(COUNTIF($B$2:$B265,B265)&gt;1,TRUE,FALSE)</f>
        <v>1</v>
      </c>
      <c r="L265" t="str">
        <f>IF(
K265,"p["""&amp;B265&amp;"""].update({"&amp;""""&amp;C265&amp;""":{"&amp;_xlfn.CONCAT(N265:T265)&amp;"}})","p.update("&amp;M265&amp;")"
)</f>
        <v>p["description"].update({"query":{"type":"string","subtype":"possibly-localized-string","indent":4,"default_value":"","docs_url":"https://looker.com/docs/r/lookml/types/query/description?version=7.14&amp;lookml=new","has_allowed_values":False,"allowed_values":""}})</v>
      </c>
      <c r="M265" t="str">
        <f>"{"&amp;""""&amp;B265
&amp;""":{"&amp;""""&amp;C265&amp;""":{"&amp;_xlfn.CONCAT(N265:T265)&amp;"}}}"</f>
        <v>{"description":{"query":{"type":"string","subtype":"possibly-localized-string","indent":4,"default_value":"","docs_url":"https://looker.com/docs/r/lookml/types/query/description?version=7.14&amp;lookml=new","has_allowed_values":False,"allowed_values":""}}}</v>
      </c>
      <c r="N265" t="str">
        <f t="shared" si="27"/>
        <v>"type":"string",</v>
      </c>
      <c r="O265" t="str">
        <f t="shared" si="28"/>
        <v>"subtype":"possibly-localized-string",</v>
      </c>
      <c r="P265" t="str">
        <f t="shared" si="29"/>
        <v>"indent":4,</v>
      </c>
      <c r="Q265" t="str">
        <f t="shared" si="26"/>
        <v>"default_value":"",</v>
      </c>
      <c r="R265" t="str">
        <f t="shared" si="30"/>
        <v>"docs_url":"https://looker.com/docs/r/lookml/types/query/description?version=7.14&amp;lookml=new",</v>
      </c>
      <c r="S265" t="str">
        <f t="shared" si="31"/>
        <v>"has_allowed_values":False,</v>
      </c>
      <c r="T265" t="str">
        <f t="shared" si="32"/>
        <v>"allowed_values":""</v>
      </c>
    </row>
    <row r="266" spans="1:20" ht="13" x14ac:dyDescent="0.15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4</v>
      </c>
      <c r="G266" s="4" t="s">
        <v>592</v>
      </c>
      <c r="H266" s="4" t="s">
        <v>402</v>
      </c>
      <c r="I266" s="4" t="b">
        <v>0</v>
      </c>
      <c r="K266" s="4" t="b">
        <f>IF(COUNTIF($B$2:$B266,B266)&gt;1,TRUE,FALSE)</f>
        <v>1</v>
      </c>
      <c r="L266" t="str">
        <f>IF(
K266,"p["""&amp;B266&amp;"""].update({"&amp;""""&amp;C266&amp;""":{"&amp;_xlfn.CONCAT(N266:T266)&amp;"}})","p.update("&amp;M266&amp;")"
)</f>
        <v>p["group_label"].update({"query":{"type":"string","subtype":"possibly-localized-string","indent":4,"default_value":"","docs_url":"https://looker.com/docs/r/lookml/types/query/group_label?version=7.14&amp;lookml=new","has_allowed_values":False,"allowed_values":""}})</v>
      </c>
      <c r="M266" t="str">
        <f>"{"&amp;""""&amp;B266
&amp;""":{"&amp;""""&amp;C266&amp;""":{"&amp;_xlfn.CONCAT(N266:T266)&amp;"}}}"</f>
        <v>{"group_label":{"query":{"type":"string","subtype":"possibly-localized-string","indent":4,"default_value":"","docs_url":"https://looker.com/docs/r/lookml/types/query/group_label?version=7.14&amp;lookml=new","has_allowed_values":False,"allowed_values":""}}}</v>
      </c>
      <c r="N266" t="str">
        <f t="shared" si="27"/>
        <v>"type":"string",</v>
      </c>
      <c r="O266" t="str">
        <f t="shared" si="28"/>
        <v>"subtype":"possibly-localized-string",</v>
      </c>
      <c r="P266" t="str">
        <f t="shared" si="29"/>
        <v>"indent":4,</v>
      </c>
      <c r="Q266" t="str">
        <f t="shared" si="26"/>
        <v>"default_value":"",</v>
      </c>
      <c r="R266" t="str">
        <f t="shared" si="30"/>
        <v>"docs_url":"https://looker.com/docs/r/lookml/types/query/group_label?version=7.14&amp;lookml=new",</v>
      </c>
      <c r="S266" t="str">
        <f t="shared" si="31"/>
        <v>"has_allowed_values":False,</v>
      </c>
      <c r="T266" t="str">
        <f t="shared" si="32"/>
        <v>"allowed_values":""</v>
      </c>
    </row>
    <row r="267" spans="1:20" ht="13" x14ac:dyDescent="0.15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4</v>
      </c>
      <c r="H267" s="4" t="s">
        <v>403</v>
      </c>
      <c r="I267" s="4" t="b">
        <v>0</v>
      </c>
      <c r="K267" s="4" t="b">
        <f>IF(COUNTIF($B$2:$B267,B267)&gt;1,TRUE,FALSE)</f>
        <v>1</v>
      </c>
      <c r="L267" t="str">
        <f>IF(
K267,"p["""&amp;B267&amp;"""].update({"&amp;""""&amp;C267&amp;""":{"&amp;_xlfn.CONCAT(N267:T267)&amp;"}})","p.update("&amp;M267&amp;")"
)</f>
        <v>p["filters"].update({"query":{"type":"filters","subtype":"identifier","indent":4,"default_value":"","docs_url":"https://looker.com/docs/r/lookml/types/query/filters?version=7.14&amp;lookml=new","has_allowed_values":False,"allowed_values":""}})</v>
      </c>
      <c r="M267" t="str">
        <f>"{"&amp;""""&amp;B267
&amp;""":{"&amp;""""&amp;C267&amp;""":{"&amp;_xlfn.CONCAT(N267:T267)&amp;"}}}"</f>
        <v>{"filters":{"query":{"type":"filters","subtype":"identifier","indent":4,"default_value":"","docs_url":"https://looker.com/docs/r/lookml/types/query/filters?version=7.14&amp;lookml=new","has_allowed_values":False,"allowed_values":""}}}</v>
      </c>
      <c r="N267" t="str">
        <f t="shared" si="27"/>
        <v>"type":"filters",</v>
      </c>
      <c r="O267" t="str">
        <f t="shared" si="28"/>
        <v>"subtype":"identifier",</v>
      </c>
      <c r="P267" t="str">
        <f t="shared" si="29"/>
        <v>"indent":4,</v>
      </c>
      <c r="Q267" t="str">
        <f t="shared" si="26"/>
        <v>"default_value":"",</v>
      </c>
      <c r="R267" t="str">
        <f t="shared" si="30"/>
        <v>"docs_url":"https://looker.com/docs/r/lookml/types/query/filters?version=7.14&amp;lookml=new",</v>
      </c>
      <c r="S267" t="str">
        <f t="shared" si="31"/>
        <v>"has_allowed_values":False,</v>
      </c>
      <c r="T267" t="str">
        <f t="shared" si="32"/>
        <v>"allowed_values":""</v>
      </c>
    </row>
    <row r="268" spans="1:20" ht="13" x14ac:dyDescent="0.15">
      <c r="A268" s="7">
        <v>293</v>
      </c>
      <c r="B268" s="6" t="s">
        <v>488</v>
      </c>
      <c r="C268" s="6" t="s">
        <v>112</v>
      </c>
      <c r="D268" s="4" t="s">
        <v>62</v>
      </c>
      <c r="E268" s="4" t="s">
        <v>599</v>
      </c>
      <c r="F268" s="4">
        <v>4</v>
      </c>
      <c r="G268" s="4">
        <v>5000</v>
      </c>
      <c r="H268" s="4" t="s">
        <v>404</v>
      </c>
      <c r="I268" s="4" t="b">
        <v>0</v>
      </c>
      <c r="K268" s="4" t="b">
        <f>IF(COUNTIF($B$2:$B268,B268)&gt;1,TRUE,FALSE)</f>
        <v>1</v>
      </c>
      <c r="L268" t="str">
        <f>IF(
K268,"p["""&amp;B268&amp;"""].update({"&amp;""""&amp;C268&amp;""":{"&amp;_xlfn.CONCAT(N268:T268)&amp;"}})","p.update("&amp;M268&amp;")"
)</f>
        <v>p["limit"].update({"query":{"type":"string_unquoted","subtype":"number","indent":4,"default_value":"5000","docs_url":"https://looker.com/docs/r/lookml/types/query/limit?version=7.14&amp;lookml=new","has_allowed_values":False,"allowed_values":""}})</v>
      </c>
      <c r="M268" t="str">
        <f>"{"&amp;""""&amp;B268
&amp;""":{"&amp;""""&amp;C268&amp;""":{"&amp;_xlfn.CONCAT(N268:T268)&amp;"}}}"</f>
        <v>{"limit":{"query":{"type":"string_unquoted","subtype":"number","indent":4,"default_value":"5000","docs_url":"https://looker.com/docs/r/lookml/types/query/limit?version=7.14&amp;lookml=new","has_allowed_values":False,"allowed_values":""}}}</v>
      </c>
      <c r="N268" t="str">
        <f t="shared" si="27"/>
        <v>"type":"string_unquoted",</v>
      </c>
      <c r="O268" t="str">
        <f t="shared" si="28"/>
        <v>"subtype":"number",</v>
      </c>
      <c r="P268" t="str">
        <f t="shared" si="29"/>
        <v>"indent":4,</v>
      </c>
      <c r="Q268" t="str">
        <f t="shared" ref="Q268:Q331" si="33">"""default_value"":"&amp;IF(G268="""""",""""",",IF(LEFT(G268,1)="[",G268,""""&amp;G268&amp;"""")&amp;",")</f>
        <v>"default_value":"5000",</v>
      </c>
      <c r="R268" t="str">
        <f t="shared" si="30"/>
        <v>"docs_url":"https://looker.com/docs/r/lookml/types/query/limit?version=7.14&amp;lookml=new",</v>
      </c>
      <c r="S268" t="str">
        <f t="shared" si="31"/>
        <v>"has_allowed_values":False,</v>
      </c>
      <c r="T268" t="str">
        <f t="shared" si="32"/>
        <v>"allowed_values":""</v>
      </c>
    </row>
    <row r="269" spans="1:20" ht="13" x14ac:dyDescent="0.15">
      <c r="A269" s="7">
        <v>294</v>
      </c>
      <c r="B269" s="6" t="s">
        <v>490</v>
      </c>
      <c r="C269" s="6" t="s">
        <v>112</v>
      </c>
      <c r="D269" s="4" t="s">
        <v>539</v>
      </c>
      <c r="E269" s="4" t="s">
        <v>490</v>
      </c>
      <c r="F269" s="4">
        <v>4</v>
      </c>
      <c r="H269" s="4" t="s">
        <v>405</v>
      </c>
      <c r="I269" s="4" t="b">
        <v>0</v>
      </c>
      <c r="K269" s="4" t="b">
        <f>IF(COUNTIF($B$2:$B269,B269)&gt;1,TRUE,FALSE)</f>
        <v>1</v>
      </c>
      <c r="L269" t="str">
        <f>IF(
K269,"p["""&amp;B269&amp;"""].update({"&amp;""""&amp;C269&amp;""":{"&amp;_xlfn.CONCAT(N269:T269)&amp;"}})","p.update("&amp;M269&amp;")"
)</f>
        <v>p["sorts"].update({"query":{"type":"sorts","subtype":"field-ref-to-sort-map","indent":4,"default_value":"","docs_url":"https://looker.com/docs/r/lookml/types/query/sorts?version=7.14&amp;lookml=new","has_allowed_values":False,"allowed_values":""}})</v>
      </c>
      <c r="M269" t="str">
        <f>"{"&amp;""""&amp;B269
&amp;""":{"&amp;""""&amp;C269&amp;""":{"&amp;_xlfn.CONCAT(N269:T269)&amp;"}}}"</f>
        <v>{"sorts":{"query":{"type":"sorts","subtype":"field-ref-to-sort-map","indent":4,"default_value":"","docs_url":"https://looker.com/docs/r/lookml/types/query/sorts?version=7.14&amp;lookml=new","has_allowed_values":False,"allowed_values":""}}}</v>
      </c>
      <c r="N269" t="str">
        <f t="shared" si="27"/>
        <v>"type":"sorts",</v>
      </c>
      <c r="O269" t="str">
        <f t="shared" si="28"/>
        <v>"subtype":"field-ref-to-sort-map",</v>
      </c>
      <c r="P269" t="str">
        <f t="shared" si="29"/>
        <v>"indent":4,</v>
      </c>
      <c r="Q269" t="str">
        <f t="shared" si="33"/>
        <v>"default_value":"",</v>
      </c>
      <c r="R269" t="str">
        <f t="shared" si="30"/>
        <v>"docs_url":"https://looker.com/docs/r/lookml/types/query/sorts?version=7.14&amp;lookml=new",</v>
      </c>
      <c r="S269" t="str">
        <f t="shared" si="31"/>
        <v>"has_allowed_values":False,</v>
      </c>
      <c r="T269" t="str">
        <f t="shared" si="32"/>
        <v>"allowed_values":""</v>
      </c>
    </row>
    <row r="270" spans="1:20" ht="13" x14ac:dyDescent="0.15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4</v>
      </c>
      <c r="G270" s="4" t="s">
        <v>592</v>
      </c>
      <c r="H270" s="4" t="s">
        <v>406</v>
      </c>
      <c r="I270" s="4" t="b">
        <v>0</v>
      </c>
      <c r="K270" s="4" t="b">
        <f>IF(COUNTIF($B$2:$B270,B270)&gt;1,TRUE,FALSE)</f>
        <v>1</v>
      </c>
      <c r="L270" t="str">
        <f>IF(
K270,"p["""&amp;B270&amp;"""].update({"&amp;""""&amp;C270&amp;""":{"&amp;_xlfn.CONCAT(N270:T270)&amp;"}})","p.update("&amp;M270&amp;")"
)</f>
        <v>p["label"].update({"query":{"type":"string","subtype":"possibly-localized-string","indent":4,"default_value":"","docs_url":"https://looker.com/docs/r/lookml/types/query/label?version=7.14&amp;lookml=new","has_allowed_values":False,"allowed_values":""}})</v>
      </c>
      <c r="M270" t="str">
        <f>"{"&amp;""""&amp;B270
&amp;""":{"&amp;""""&amp;C270&amp;""":{"&amp;_xlfn.CONCAT(N270:T270)&amp;"}}}"</f>
        <v>{"label":{"query":{"type":"string","subtype":"possibly-localized-string","indent":4,"default_value":"","docs_url":"https://looker.com/docs/r/lookml/types/query/label?version=7.14&amp;lookml=new","has_allowed_values":False,"allowed_values":""}}}</v>
      </c>
      <c r="N270" t="str">
        <f t="shared" si="27"/>
        <v>"type":"string",</v>
      </c>
      <c r="O270" t="str">
        <f t="shared" si="28"/>
        <v>"subtype":"possibly-localized-string",</v>
      </c>
      <c r="P270" t="str">
        <f t="shared" si="29"/>
        <v>"indent":4,</v>
      </c>
      <c r="Q270" t="str">
        <f t="shared" si="33"/>
        <v>"default_value":"",</v>
      </c>
      <c r="R270" t="str">
        <f t="shared" si="30"/>
        <v>"docs_url":"https://looker.com/docs/r/lookml/types/query/label?version=7.14&amp;lookml=new",</v>
      </c>
      <c r="S270" t="str">
        <f t="shared" si="31"/>
        <v>"has_allowed_values":False,</v>
      </c>
      <c r="T270" t="str">
        <f t="shared" si="32"/>
        <v>"allowed_values":""</v>
      </c>
    </row>
    <row r="271" spans="1:20" ht="13" x14ac:dyDescent="0.15">
      <c r="A271" s="7">
        <v>296</v>
      </c>
      <c r="B271" s="6" t="s">
        <v>494</v>
      </c>
      <c r="C271" s="6" t="s">
        <v>112</v>
      </c>
      <c r="D271" s="4" t="s">
        <v>17</v>
      </c>
      <c r="E271" s="4" t="s">
        <v>596</v>
      </c>
      <c r="F271" s="4">
        <v>4</v>
      </c>
      <c r="H271" s="4" t="s">
        <v>407</v>
      </c>
      <c r="I271" s="4" t="b">
        <v>0</v>
      </c>
      <c r="K271" s="4" t="b">
        <f>IF(COUNTIF($B$2:$B271,B271)&gt;1,TRUE,FALSE)</f>
        <v>0</v>
      </c>
      <c r="L271" t="str">
        <f>IF(
K271,"p["""&amp;B271&amp;"""].update({"&amp;""""&amp;C271&amp;""":{"&amp;_xlfn.CONCAT(N271:T271)&amp;"}})","p.update("&amp;M271&amp;")"
)</f>
        <v>p.update({"pivots":{"query":{"type":"list_unquoted","subtype":"field-ref","indent":4,"default_value":"","docs_url":"https://looker.com/docs/r/lookml/types/query/pivots?version=7.14&amp;lookml=new","has_allowed_values":False,"allowed_values":""}}})</v>
      </c>
      <c r="M271" t="str">
        <f>"{"&amp;""""&amp;B271
&amp;""":{"&amp;""""&amp;C271&amp;""":{"&amp;_xlfn.CONCAT(N271:T271)&amp;"}}}"</f>
        <v>{"pivots":{"query":{"type":"list_unquoted","subtype":"field-ref","indent":4,"default_value":"","docs_url":"https://looker.com/docs/r/lookml/types/query/pivots?version=7.14&amp;lookml=new","has_allowed_values":False,"allowed_values":""}}}</v>
      </c>
      <c r="N271" t="str">
        <f t="shared" si="27"/>
        <v>"type":"list_unquoted",</v>
      </c>
      <c r="O271" t="str">
        <f t="shared" si="28"/>
        <v>"subtype":"field-ref",</v>
      </c>
      <c r="P271" t="str">
        <f t="shared" si="29"/>
        <v>"indent":4,</v>
      </c>
      <c r="Q271" t="str">
        <f t="shared" si="33"/>
        <v>"default_value":"",</v>
      </c>
      <c r="R271" t="str">
        <f t="shared" si="30"/>
        <v>"docs_url":"https://looker.com/docs/r/lookml/types/query/pivots?version=7.14&amp;lookml=new",</v>
      </c>
      <c r="S271" t="str">
        <f t="shared" si="31"/>
        <v>"has_allowed_values":False,</v>
      </c>
      <c r="T271" t="str">
        <f t="shared" si="32"/>
        <v>"allowed_values":""</v>
      </c>
    </row>
    <row r="272" spans="1:20" ht="13" x14ac:dyDescent="0.15">
      <c r="A272" s="7">
        <v>297</v>
      </c>
      <c r="B272" s="6" t="s">
        <v>491</v>
      </c>
      <c r="C272" s="6" t="s">
        <v>112</v>
      </c>
      <c r="D272" s="4" t="s">
        <v>551</v>
      </c>
      <c r="E272" s="4" t="s">
        <v>551</v>
      </c>
      <c r="F272" s="4">
        <v>4</v>
      </c>
      <c r="G272" s="4" t="s">
        <v>558</v>
      </c>
      <c r="H272" s="4" t="s">
        <v>408</v>
      </c>
      <c r="I272" s="4" t="b">
        <v>1</v>
      </c>
      <c r="J272" t="s">
        <v>561</v>
      </c>
      <c r="K272" s="4" t="b">
        <f>IF(COUNTIF($B$2:$B272,B272)&gt;1,TRUE,FALSE)</f>
        <v>1</v>
      </c>
      <c r="L272" t="str">
        <f>IF(
K272,"p["""&amp;B272&amp;"""].update({"&amp;""""&amp;C272&amp;""":{"&amp;_xlfn.CONCAT(N272:T272)&amp;"}})","p.update("&amp;M272&amp;")"
)</f>
        <v>p["timezone"].update({"query":{"type":"options","subtype":"options","indent":4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>"{"&amp;""""&amp;B272
&amp;""":{"&amp;""""&amp;C272&amp;""":{"&amp;_xlfn.CONCAT(N272:T272)&amp;"}}}"</f>
        <v>{"timezone":{"query":{"type":"options","subtype":"options","indent":4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27"/>
        <v>"type":"options",</v>
      </c>
      <c r="O272" t="str">
        <f t="shared" si="28"/>
        <v>"subtype":"options",</v>
      </c>
      <c r="P272" t="str">
        <f t="shared" si="29"/>
        <v>"indent":4,</v>
      </c>
      <c r="Q272" t="str">
        <f t="shared" si="33"/>
        <v>"default_value":"America/Los_Angeles",</v>
      </c>
      <c r="R272" t="str">
        <f t="shared" si="30"/>
        <v>"docs_url":"https://looker.com/docs/r/lookml/types/query/timezone?version=7.14&amp;lookml=new",</v>
      </c>
      <c r="S272" t="str">
        <f t="shared" si="31"/>
        <v>"has_allowed_values":True,</v>
      </c>
      <c r="T272" t="str">
        <f t="shared" si="32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x14ac:dyDescent="0.15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592</v>
      </c>
      <c r="H273" s="4" t="s">
        <v>409</v>
      </c>
      <c r="I273" s="4" t="b">
        <v>0</v>
      </c>
      <c r="K273" s="4" t="b">
        <f>IF(COUNTIF($B$2:$B273,B273)&gt;1,TRUE,FALSE)</f>
        <v>1</v>
      </c>
      <c r="L273" t="str">
        <f>IF(
K273,"p["""&amp;B273&amp;"""].update({"&amp;""""&amp;C273&amp;""":{"&amp;_xlfn.CONCAT(N273:T273)&amp;"}})","p.update("&amp;M273&amp;")"
)</f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>"{"&amp;""""&amp;B273
&amp;""":{"&amp;""""&amp;C273&amp;""":{"&amp;_xlfn.CONCAT(N273:T273)&amp;"}}}"</f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27"/>
        <v>"type":"string",</v>
      </c>
      <c r="O273" t="str">
        <f t="shared" si="28"/>
        <v>"subtype":"string",</v>
      </c>
      <c r="P273" t="str">
        <f t="shared" si="29"/>
        <v>"indent":3,</v>
      </c>
      <c r="Q273" t="str">
        <f t="shared" si="33"/>
        <v>"default_value":"",</v>
      </c>
      <c r="R273" t="str">
        <f t="shared" si="30"/>
        <v>"docs_url":"https://looker.com/docs/r/lookml/types/materialization/persist_for?version=7.14&amp;lookml=new",</v>
      </c>
      <c r="S273" t="str">
        <f t="shared" si="31"/>
        <v>"has_allowed_values":False,</v>
      </c>
      <c r="T273" t="str">
        <f t="shared" si="32"/>
        <v>"allowed_values":""</v>
      </c>
    </row>
    <row r="274" spans="1:20" ht="13" x14ac:dyDescent="0.15">
      <c r="A274" s="7">
        <v>301</v>
      </c>
      <c r="B274" s="6" t="s">
        <v>80</v>
      </c>
      <c r="C274" s="6" t="s">
        <v>113</v>
      </c>
      <c r="D274" s="4" t="s">
        <v>613</v>
      </c>
      <c r="E274" s="4" t="s">
        <v>34</v>
      </c>
      <c r="F274" s="4">
        <v>3</v>
      </c>
      <c r="G274" s="4" t="s">
        <v>592</v>
      </c>
      <c r="H274" s="4" t="s">
        <v>410</v>
      </c>
      <c r="I274" s="4" t="b">
        <v>0</v>
      </c>
      <c r="K274" s="4" t="b">
        <f>IF(COUNTIF($B$2:$B274,B274)&gt;1,TRUE,FALSE)</f>
        <v>1</v>
      </c>
      <c r="L274" t="str">
        <f>IF(
K274,"p["""&amp;B274&amp;"""].update({"&amp;""""&amp;C274&amp;""":{"&amp;_xlfn.CONCAT(N274:T274)&amp;"}})","p.update("&amp;M274&amp;")"
)</f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>"{"&amp;""""&amp;B274
&amp;""":{"&amp;""""&amp;C274&amp;""":{"&amp;_xlfn.CONCAT(N274:T274)&amp;"}}}"</f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27"/>
        <v>"type":"sql",</v>
      </c>
      <c r="O274" t="str">
        <f t="shared" si="28"/>
        <v>"subtype":"sql-block ",</v>
      </c>
      <c r="P274" t="str">
        <f t="shared" si="29"/>
        <v>"indent":3,</v>
      </c>
      <c r="Q274" t="str">
        <f t="shared" si="33"/>
        <v>"default_value":"",</v>
      </c>
      <c r="R274" t="str">
        <f t="shared" si="30"/>
        <v>"docs_url":"https://looker.com/docs/r/lookml/types/materialization/sql_trigger_value?version=7.14&amp;lookml=new",</v>
      </c>
      <c r="S274" t="str">
        <f t="shared" si="31"/>
        <v>"has_allowed_values":False,</v>
      </c>
      <c r="T274" t="str">
        <f t="shared" si="32"/>
        <v>"allowed_values":""</v>
      </c>
    </row>
    <row r="275" spans="1:20" ht="13" x14ac:dyDescent="0.15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599</v>
      </c>
      <c r="F275" s="4">
        <v>3</v>
      </c>
      <c r="H275" s="4" t="s">
        <v>411</v>
      </c>
      <c r="I275" s="4" t="b">
        <v>0</v>
      </c>
      <c r="K275" s="4" t="b">
        <f>IF(COUNTIF($B$2:$B275,B275)&gt;1,TRUE,FALSE)</f>
        <v>1</v>
      </c>
      <c r="L275" t="str">
        <f>IF(
K275,"p["""&amp;B275&amp;"""].update({"&amp;""""&amp;C275&amp;""":{"&amp;_xlfn.CONCAT(N275:T275)&amp;"}})","p.update("&amp;M275&amp;")"
)</f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>"{"&amp;""""&amp;B275
&amp;""":{"&amp;""""&amp;C275&amp;""":{"&amp;_xlfn.CONCAT(N275:T275)&amp;"}}}"</f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27"/>
        <v>"type":"string_unquoted",</v>
      </c>
      <c r="O275" t="str">
        <f t="shared" si="28"/>
        <v>"subtype":"datagroup-ref",</v>
      </c>
      <c r="P275" t="str">
        <f t="shared" si="29"/>
        <v>"indent":3,</v>
      </c>
      <c r="Q275" t="str">
        <f t="shared" si="33"/>
        <v>"default_value":"",</v>
      </c>
      <c r="R275" t="str">
        <f t="shared" si="30"/>
        <v>"docs_url":"https://looker.com/docs/r/lookml/types/materialization/datagroup_trigger?version=7.14&amp;lookml=new",</v>
      </c>
      <c r="S275" t="str">
        <f t="shared" si="31"/>
        <v>"has_allowed_values":False,</v>
      </c>
      <c r="T275" t="str">
        <f t="shared" si="32"/>
        <v>"allowed_values":""</v>
      </c>
    </row>
    <row r="276" spans="1:20" ht="13" x14ac:dyDescent="0.15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593</v>
      </c>
      <c r="F276" s="4">
        <v>0</v>
      </c>
      <c r="H276" s="4" t="s">
        <v>158</v>
      </c>
      <c r="I276" s="4" t="b">
        <v>0</v>
      </c>
      <c r="K276" s="4" t="b">
        <f>IF(COUNTIF($B$2:$B276,B276)&gt;1,TRUE,FALSE)</f>
        <v>1</v>
      </c>
      <c r="L276" t="str">
        <f>IF(
K276,"p["""&amp;B276&amp;"""].update({"&amp;""""&amp;C276&amp;""":{"&amp;_xlfn.CONCAT(N276:T276)&amp;"}})","p.update("&amp;M276&amp;")"
)</f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>"{"&amp;""""&amp;B276
&amp;""":{"&amp;""""&amp;C276&amp;""":{"&amp;_xlfn.CONCAT(N276:T276)&amp;"}}}"</f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27"/>
        <v>"type":"named_construct",</v>
      </c>
      <c r="O276" t="str">
        <f t="shared" si="28"/>
        <v>"subtype":"identifier",</v>
      </c>
      <c r="P276" t="str">
        <f t="shared" si="29"/>
        <v>"indent":0,</v>
      </c>
      <c r="Q276" t="str">
        <f t="shared" si="33"/>
        <v>"default_value":"",</v>
      </c>
      <c r="R276" t="str">
        <f t="shared" si="30"/>
        <v>"docs_url":"https://looker.com/docs/r/lookml/types/manifest/application?version=7.14&amp;lookml=new",</v>
      </c>
      <c r="S276" t="str">
        <f t="shared" si="31"/>
        <v>"has_allowed_values":False,</v>
      </c>
      <c r="T276" t="str">
        <f t="shared" si="32"/>
        <v>"allowed_values":""</v>
      </c>
    </row>
    <row r="277" spans="1:20" ht="13" x14ac:dyDescent="0.15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592</v>
      </c>
      <c r="H277" s="4" t="s">
        <v>412</v>
      </c>
      <c r="I277" s="4" t="b">
        <v>0</v>
      </c>
      <c r="K277" s="4" t="b">
        <f>IF(COUNTIF($B$2:$B277,B277)&gt;1,TRUE,FALSE)</f>
        <v>1</v>
      </c>
      <c r="L277" t="str">
        <f>IF(
K277,"p["""&amp;B277&amp;"""].update({"&amp;""""&amp;C277&amp;""":{"&amp;_xlfn.CONCAT(N277:T277)&amp;"}})","p.update("&amp;M277&amp;")"
)</f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>"{"&amp;""""&amp;B277
&amp;""":{"&amp;""""&amp;C277&amp;""":{"&amp;_xlfn.CONCAT(N277:T277)&amp;"}}}"</f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27"/>
        <v>"type":"string",</v>
      </c>
      <c r="O277" t="str">
        <f t="shared" si="28"/>
        <v>"subtype":"possibly-localized-string",</v>
      </c>
      <c r="P277" t="str">
        <f t="shared" si="29"/>
        <v>"indent":1,</v>
      </c>
      <c r="Q277" t="str">
        <f t="shared" si="33"/>
        <v>"default_value":"",</v>
      </c>
      <c r="R277" t="str">
        <f t="shared" si="30"/>
        <v>"docs_url":"https://looker.com/docs/r/lookml/types/application/label?version=7.14&amp;lookml=new",</v>
      </c>
      <c r="S277" t="str">
        <f t="shared" si="31"/>
        <v>"has_allowed_values":False,</v>
      </c>
      <c r="T277" t="str">
        <f t="shared" si="32"/>
        <v>"allowed_values":""</v>
      </c>
    </row>
    <row r="278" spans="1:20" ht="13" x14ac:dyDescent="0.15">
      <c r="A278" s="7">
        <v>306</v>
      </c>
      <c r="B278" s="6" t="s">
        <v>495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592</v>
      </c>
      <c r="H278" s="4" t="s">
        <v>413</v>
      </c>
      <c r="I278" s="4" t="b">
        <v>0</v>
      </c>
      <c r="K278" s="4" t="b">
        <f>IF(COUNTIF($B$2:$B278,B278)&gt;1,TRUE,FALSE)</f>
        <v>0</v>
      </c>
      <c r="L278" t="str">
        <f>IF(
K278,"p["""&amp;B278&amp;"""].update({"&amp;""""&amp;C278&amp;""":{"&amp;_xlfn.CONCAT(N278:T278)&amp;"}})","p.update("&amp;M278&amp;")"
)</f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>"{"&amp;""""&amp;B278
&amp;""":{"&amp;""""&amp;C278&amp;""":{"&amp;_xlfn.CONCAT(N278:T278)&amp;"}}}"</f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27"/>
        <v>"type":"string",</v>
      </c>
      <c r="O278" t="str">
        <f t="shared" si="28"/>
        <v>"subtype":"string",</v>
      </c>
      <c r="P278" t="str">
        <f t="shared" si="29"/>
        <v>"indent":1,</v>
      </c>
      <c r="Q278" t="str">
        <f t="shared" si="33"/>
        <v>"default_value":"",</v>
      </c>
      <c r="R278" t="str">
        <f t="shared" si="30"/>
        <v>"docs_url":"https://looker.com/docs/r/lookml/types/application/url?version=7.14&amp;lookml=new",</v>
      </c>
      <c r="S278" t="str">
        <f t="shared" si="31"/>
        <v>"has_allowed_values":False,</v>
      </c>
      <c r="T278" t="str">
        <f t="shared" si="32"/>
        <v>"allowed_values":""</v>
      </c>
    </row>
    <row r="279" spans="1:20" ht="13" x14ac:dyDescent="0.15">
      <c r="A279" s="7">
        <v>307</v>
      </c>
      <c r="B279" s="6" t="s">
        <v>496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592</v>
      </c>
      <c r="H279" s="4" t="s">
        <v>414</v>
      </c>
      <c r="I279" s="4" t="b">
        <v>0</v>
      </c>
      <c r="K279" s="4" t="b">
        <f>IF(COUNTIF($B$2:$B279,B279)&gt;1,TRUE,FALSE)</f>
        <v>0</v>
      </c>
      <c r="L279" t="str">
        <f>IF(
K279,"p["""&amp;B279&amp;"""].update({"&amp;""""&amp;C279&amp;""":{"&amp;_xlfn.CONCAT(N279:T279)&amp;"}})","p.update("&amp;M279&amp;")"
)</f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>"{"&amp;""""&amp;B279
&amp;""":{"&amp;""""&amp;C279&amp;""":{"&amp;_xlfn.CONCAT(N279:T279)&amp;"}}}"</f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27"/>
        <v>"type":"string",</v>
      </c>
      <c r="O279" t="str">
        <f t="shared" si="28"/>
        <v>"subtype":"string",</v>
      </c>
      <c r="P279" t="str">
        <f t="shared" si="29"/>
        <v>"indent":1,</v>
      </c>
      <c r="Q279" t="str">
        <f t="shared" si="33"/>
        <v>"default_value":"",</v>
      </c>
      <c r="R279" t="str">
        <f t="shared" si="30"/>
        <v>"docs_url":"https://looker.com/docs/r/lookml/types/application/file?version=7.14&amp;lookml=new",</v>
      </c>
      <c r="S279" t="str">
        <f t="shared" si="31"/>
        <v>"has_allowed_values":False,</v>
      </c>
      <c r="T279" t="str">
        <f t="shared" si="32"/>
        <v>"allowed_values":""</v>
      </c>
    </row>
    <row r="280" spans="1:20" ht="13" x14ac:dyDescent="0.15">
      <c r="A280" s="7">
        <v>308</v>
      </c>
      <c r="B280" s="6" t="s">
        <v>115</v>
      </c>
      <c r="C280" s="6" t="s">
        <v>126</v>
      </c>
      <c r="D280" s="4" t="s">
        <v>540</v>
      </c>
      <c r="E280" s="4" t="s">
        <v>540</v>
      </c>
      <c r="F280" s="4">
        <v>2</v>
      </c>
      <c r="H280" s="4" t="s">
        <v>415</v>
      </c>
      <c r="I280" s="4" t="b">
        <v>0</v>
      </c>
      <c r="K280" s="4" t="b">
        <f>IF(COUNTIF($B$2:$B280,B280)&gt;1,TRUE,FALSE)</f>
        <v>0</v>
      </c>
      <c r="L280" t="str">
        <f>IF(
K280,"p["""&amp;B280&amp;"""].update({"&amp;""""&amp;C280&amp;""":{"&amp;_xlfn.CONCAT(N280:T280)&amp;"}})","p.update("&amp;M280&amp;")"
)</f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>"{"&amp;""""&amp;B280
&amp;""":{"&amp;""""&amp;C280&amp;""":{"&amp;_xlfn.CONCAT(N280:T280)&amp;"}}}"</f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27"/>
        <v>"type":"anonymous_construct",</v>
      </c>
      <c r="O280" t="str">
        <f t="shared" si="28"/>
        <v>"subtype":"anonymous_construct",</v>
      </c>
      <c r="P280" t="str">
        <f t="shared" si="29"/>
        <v>"indent":2,</v>
      </c>
      <c r="Q280" t="str">
        <f t="shared" si="33"/>
        <v>"default_value":"",</v>
      </c>
      <c r="R280" t="str">
        <f t="shared" si="30"/>
        <v>"docs_url":"https://looker.com/docs/r/lookml/types/application/entitlements?version=7.14&amp;lookml=new",</v>
      </c>
      <c r="S280" t="str">
        <f t="shared" si="31"/>
        <v>"has_allowed_values":False,</v>
      </c>
      <c r="T280" t="str">
        <f t="shared" si="32"/>
        <v>"allowed_values":""</v>
      </c>
    </row>
    <row r="281" spans="1:20" ht="13" x14ac:dyDescent="0.15">
      <c r="A281" s="7">
        <v>311</v>
      </c>
      <c r="B281" s="6" t="s">
        <v>497</v>
      </c>
      <c r="C281" s="6" t="s">
        <v>115</v>
      </c>
      <c r="D281" s="4" t="s">
        <v>569</v>
      </c>
      <c r="E281" s="4" t="s">
        <v>569</v>
      </c>
      <c r="F281" s="4">
        <v>3</v>
      </c>
      <c r="G281" s="4" t="s">
        <v>604</v>
      </c>
      <c r="H281" s="4" t="s">
        <v>416</v>
      </c>
      <c r="I281" s="4" t="b">
        <v>0</v>
      </c>
      <c r="K281" s="4" t="b">
        <f>IF(COUNTIF($B$2:$B281,B281)&gt;1,TRUE,FALSE)</f>
        <v>0</v>
      </c>
      <c r="L281" t="str">
        <f>IF(
K281,"p["""&amp;B281&amp;"""].update({"&amp;""""&amp;C281&amp;""":{"&amp;_xlfn.CONCAT(N281:T281)&amp;"}})","p.update("&amp;M281&amp;")"
)</f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>"{"&amp;""""&amp;B281
&amp;""":{"&amp;""""&amp;C281&amp;""":{"&amp;_xlfn.CONCAT(N281:T281)&amp;"}}}"</f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27"/>
        <v>"type":"yesno",</v>
      </c>
      <c r="O281" t="str">
        <f t="shared" si="28"/>
        <v>"subtype":"yesno",</v>
      </c>
      <c r="P281" t="str">
        <f t="shared" si="29"/>
        <v>"indent":3,</v>
      </c>
      <c r="Q281" t="str">
        <f t="shared" si="33"/>
        <v>"default_value":"no",</v>
      </c>
      <c r="R281" t="str">
        <f t="shared" si="30"/>
        <v>"docs_url":"https://looker.com/docs/r/lookml/types/entitlements/local_storage?version=7.14&amp;lookml=new",</v>
      </c>
      <c r="S281" t="str">
        <f t="shared" si="31"/>
        <v>"has_allowed_values":False,</v>
      </c>
      <c r="T281" t="str">
        <f t="shared" si="32"/>
        <v>"allowed_values":""</v>
      </c>
    </row>
    <row r="282" spans="1:20" ht="13" x14ac:dyDescent="0.15">
      <c r="A282" s="7">
        <v>312</v>
      </c>
      <c r="B282" s="6" t="s">
        <v>498</v>
      </c>
      <c r="C282" s="6" t="s">
        <v>115</v>
      </c>
      <c r="D282" s="4" t="s">
        <v>569</v>
      </c>
      <c r="E282" s="4" t="s">
        <v>569</v>
      </c>
      <c r="F282" s="4">
        <v>3</v>
      </c>
      <c r="G282" s="4" t="s">
        <v>604</v>
      </c>
      <c r="H282" s="4" t="s">
        <v>417</v>
      </c>
      <c r="I282" s="4" t="b">
        <v>0</v>
      </c>
      <c r="K282" s="4" t="b">
        <f>IF(COUNTIF($B$2:$B282,B282)&gt;1,TRUE,FALSE)</f>
        <v>0</v>
      </c>
      <c r="L282" t="str">
        <f>IF(
K282,"p["""&amp;B282&amp;"""].update({"&amp;""""&amp;C282&amp;""":{"&amp;_xlfn.CONCAT(N282:T282)&amp;"}})","p.update("&amp;M282&amp;")"
)</f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>"{"&amp;""""&amp;B282
&amp;""":{"&amp;""""&amp;C282&amp;""":{"&amp;_xlfn.CONCAT(N282:T282)&amp;"}}}"</f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27"/>
        <v>"type":"yesno",</v>
      </c>
      <c r="O282" t="str">
        <f t="shared" si="28"/>
        <v>"subtype":"yesno",</v>
      </c>
      <c r="P282" t="str">
        <f t="shared" si="29"/>
        <v>"indent":3,</v>
      </c>
      <c r="Q282" t="str">
        <f t="shared" si="33"/>
        <v>"default_value":"no",</v>
      </c>
      <c r="R282" t="str">
        <f t="shared" si="30"/>
        <v>"docs_url":"https://looker.com/docs/r/lookml/types/entitlements/navigation?version=7.14&amp;lookml=new",</v>
      </c>
      <c r="S282" t="str">
        <f t="shared" si="31"/>
        <v>"has_allowed_values":False,</v>
      </c>
      <c r="T282" t="str">
        <f t="shared" si="32"/>
        <v>"allowed_values":""</v>
      </c>
    </row>
    <row r="283" spans="1:20" ht="13" x14ac:dyDescent="0.15">
      <c r="A283" s="7">
        <v>313</v>
      </c>
      <c r="B283" s="6" t="s">
        <v>499</v>
      </c>
      <c r="C283" s="6" t="s">
        <v>115</v>
      </c>
      <c r="D283" s="4" t="s">
        <v>569</v>
      </c>
      <c r="E283" s="4" t="s">
        <v>569</v>
      </c>
      <c r="F283" s="4">
        <v>3</v>
      </c>
      <c r="G283" s="4" t="s">
        <v>604</v>
      </c>
      <c r="H283" s="4" t="s">
        <v>418</v>
      </c>
      <c r="I283" s="4" t="b">
        <v>0</v>
      </c>
      <c r="K283" s="4" t="b">
        <f>IF(COUNTIF($B$2:$B283,B283)&gt;1,TRUE,FALSE)</f>
        <v>0</v>
      </c>
      <c r="L283" t="str">
        <f>IF(
K283,"p["""&amp;B283&amp;"""].update({"&amp;""""&amp;C283&amp;""":{"&amp;_xlfn.CONCAT(N283:T283)&amp;"}})","p.update("&amp;M283&amp;")"
)</f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>"{"&amp;""""&amp;B283
&amp;""":{"&amp;""""&amp;C283&amp;""":{"&amp;_xlfn.CONCAT(N283:T283)&amp;"}}}"</f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27"/>
        <v>"type":"yesno",</v>
      </c>
      <c r="O283" t="str">
        <f t="shared" si="28"/>
        <v>"subtype":"yesno",</v>
      </c>
      <c r="P283" t="str">
        <f t="shared" si="29"/>
        <v>"indent":3,</v>
      </c>
      <c r="Q283" t="str">
        <f t="shared" si="33"/>
        <v>"default_value":"no",</v>
      </c>
      <c r="R283" t="str">
        <f t="shared" si="30"/>
        <v>"docs_url":"https://looker.com/docs/r/lookml/types/entitlements/new_window?version=7.14&amp;lookml=new",</v>
      </c>
      <c r="S283" t="str">
        <f t="shared" si="31"/>
        <v>"has_allowed_values":False,</v>
      </c>
      <c r="T283" t="str">
        <f t="shared" si="32"/>
        <v>"allowed_values":""</v>
      </c>
    </row>
    <row r="284" spans="1:20" ht="13" x14ac:dyDescent="0.15">
      <c r="A284" s="7">
        <v>314</v>
      </c>
      <c r="B284" s="6" t="s">
        <v>500</v>
      </c>
      <c r="C284" s="6" t="s">
        <v>115</v>
      </c>
      <c r="D284" s="4" t="s">
        <v>569</v>
      </c>
      <c r="E284" s="4" t="s">
        <v>569</v>
      </c>
      <c r="F284" s="4">
        <v>3</v>
      </c>
      <c r="G284" s="4" t="s">
        <v>604</v>
      </c>
      <c r="H284" s="4" t="s">
        <v>419</v>
      </c>
      <c r="I284" s="4" t="b">
        <v>0</v>
      </c>
      <c r="K284" s="4" t="b">
        <f>IF(COUNTIF($B$2:$B284,B284)&gt;1,TRUE,FALSE)</f>
        <v>0</v>
      </c>
      <c r="L284" t="str">
        <f>IF(
K284,"p["""&amp;B284&amp;"""].update({"&amp;""""&amp;C284&amp;""":{"&amp;_xlfn.CONCAT(N284:T284)&amp;"}})","p.update("&amp;M284&amp;")"
)</f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>"{"&amp;""""&amp;B284
&amp;""":{"&amp;""""&amp;C284&amp;""":{"&amp;_xlfn.CONCAT(N284:T284)&amp;"}}}"</f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27"/>
        <v>"type":"yesno",</v>
      </c>
      <c r="O284" t="str">
        <f t="shared" si="28"/>
        <v>"subtype":"yesno",</v>
      </c>
      <c r="P284" t="str">
        <f t="shared" si="29"/>
        <v>"indent":3,</v>
      </c>
      <c r="Q284" t="str">
        <f t="shared" si="33"/>
        <v>"default_value":"no",</v>
      </c>
      <c r="R284" t="str">
        <f t="shared" si="30"/>
        <v>"docs_url":"https://looker.com/docs/r/lookml/types/entitlements/allow_forms?version=7.14&amp;lookml=new",</v>
      </c>
      <c r="S284" t="str">
        <f t="shared" si="31"/>
        <v>"has_allowed_values":False,</v>
      </c>
      <c r="T284" t="str">
        <f t="shared" si="32"/>
        <v>"allowed_values":""</v>
      </c>
    </row>
    <row r="285" spans="1:20" ht="13" x14ac:dyDescent="0.15">
      <c r="A285" s="7">
        <v>315</v>
      </c>
      <c r="B285" s="6" t="s">
        <v>501</v>
      </c>
      <c r="C285" s="6" t="s">
        <v>115</v>
      </c>
      <c r="D285" s="4" t="s">
        <v>569</v>
      </c>
      <c r="E285" s="4" t="s">
        <v>569</v>
      </c>
      <c r="F285" s="4">
        <v>3</v>
      </c>
      <c r="G285" s="4" t="s">
        <v>604</v>
      </c>
      <c r="H285" s="4" t="s">
        <v>420</v>
      </c>
      <c r="I285" s="4" t="b">
        <v>0</v>
      </c>
      <c r="K285" s="4" t="b">
        <f>IF(COUNTIF($B$2:$B285,B285)&gt;1,TRUE,FALSE)</f>
        <v>0</v>
      </c>
      <c r="L285" t="str">
        <f>IF(
K285,"p["""&amp;B285&amp;"""].update({"&amp;""""&amp;C285&amp;""":{"&amp;_xlfn.CONCAT(N285:T285)&amp;"}})","p.update("&amp;M285&amp;")"
)</f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>"{"&amp;""""&amp;B285
&amp;""":{"&amp;""""&amp;C285&amp;""":{"&amp;_xlfn.CONCAT(N285:T285)&amp;"}}}"</f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27"/>
        <v>"type":"yesno",</v>
      </c>
      <c r="O285" t="str">
        <f t="shared" si="28"/>
        <v>"subtype":"yesno",</v>
      </c>
      <c r="P285" t="str">
        <f t="shared" si="29"/>
        <v>"indent":3,</v>
      </c>
      <c r="Q285" t="str">
        <f t="shared" si="33"/>
        <v>"default_value":"no",</v>
      </c>
      <c r="R285" t="str">
        <f t="shared" si="30"/>
        <v>"docs_url":"https://looker.com/docs/r/lookml/types/entitlements/allow_same_origin?version=7.14&amp;lookml=new",</v>
      </c>
      <c r="S285" t="str">
        <f t="shared" si="31"/>
        <v>"has_allowed_values":False,</v>
      </c>
      <c r="T285" t="str">
        <f t="shared" si="32"/>
        <v>"allowed_values":""</v>
      </c>
    </row>
    <row r="286" spans="1:20" ht="13" x14ac:dyDescent="0.15">
      <c r="A286" s="7">
        <v>316</v>
      </c>
      <c r="B286" s="6" t="s">
        <v>502</v>
      </c>
      <c r="C286" s="6" t="s">
        <v>115</v>
      </c>
      <c r="D286" s="4" t="s">
        <v>598</v>
      </c>
      <c r="E286" s="4" t="s">
        <v>598</v>
      </c>
      <c r="F286" s="4">
        <v>3</v>
      </c>
      <c r="H286" s="4" t="s">
        <v>421</v>
      </c>
      <c r="I286" s="4" t="b">
        <v>0</v>
      </c>
      <c r="K286" s="4" t="b">
        <f>IF(COUNTIF($B$2:$B286,B286)&gt;1,TRUE,FALSE)</f>
        <v>0</v>
      </c>
      <c r="L286" t="str">
        <f>IF(
K286,"p["""&amp;B286&amp;"""].update({"&amp;""""&amp;C286&amp;""":{"&amp;_xlfn.CONCAT(N286:T286)&amp;"}})","p.update("&amp;M286&amp;")"
)</f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>"{"&amp;""""&amp;B286
&amp;""":{"&amp;""""&amp;C286&amp;""":{"&amp;_xlfn.CONCAT(N286:T286)&amp;"}}}"</f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27"/>
        <v>"type":"list_quoted",</v>
      </c>
      <c r="O286" t="str">
        <f t="shared" si="28"/>
        <v>"subtype":"list_quoted",</v>
      </c>
      <c r="P286" t="str">
        <f t="shared" si="29"/>
        <v>"indent":3,</v>
      </c>
      <c r="Q286" t="str">
        <f t="shared" si="33"/>
        <v>"default_value":"",</v>
      </c>
      <c r="R286" t="str">
        <f t="shared" si="30"/>
        <v>"docs_url":"https://looker.com/docs/r/lookml/types/entitlements/core_api_methods?version=7.14&amp;lookml=new",</v>
      </c>
      <c r="S286" t="str">
        <f t="shared" si="31"/>
        <v>"has_allowed_values":False,</v>
      </c>
      <c r="T286" t="str">
        <f t="shared" si="32"/>
        <v>"allowed_values":""</v>
      </c>
    </row>
    <row r="287" spans="1:20" ht="13" x14ac:dyDescent="0.15">
      <c r="A287" s="7">
        <v>317</v>
      </c>
      <c r="B287" s="6" t="s">
        <v>503</v>
      </c>
      <c r="C287" s="6" t="s">
        <v>115</v>
      </c>
      <c r="D287" s="4" t="s">
        <v>598</v>
      </c>
      <c r="E287" s="4" t="s">
        <v>598</v>
      </c>
      <c r="F287" s="4">
        <v>3</v>
      </c>
      <c r="H287" s="4" t="s">
        <v>422</v>
      </c>
      <c r="I287" s="4" t="b">
        <v>0</v>
      </c>
      <c r="K287" s="4" t="b">
        <f>IF(COUNTIF($B$2:$B287,B287)&gt;1,TRUE,FALSE)</f>
        <v>0</v>
      </c>
      <c r="L287" t="str">
        <f>IF(
K287,"p["""&amp;B287&amp;"""].update({"&amp;""""&amp;C287&amp;""":{"&amp;_xlfn.CONCAT(N287:T287)&amp;"}})","p.update("&amp;M287&amp;")"
)</f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>"{"&amp;""""&amp;B287
&amp;""":{"&amp;""""&amp;C287&amp;""":{"&amp;_xlfn.CONCAT(N287:T287)&amp;"}}}"</f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27"/>
        <v>"type":"list_quoted",</v>
      </c>
      <c r="O287" t="str">
        <f t="shared" si="28"/>
        <v>"subtype":"list_quoted",</v>
      </c>
      <c r="P287" t="str">
        <f t="shared" si="29"/>
        <v>"indent":3,</v>
      </c>
      <c r="Q287" t="str">
        <f t="shared" si="33"/>
        <v>"default_value":"",</v>
      </c>
      <c r="R287" t="str">
        <f t="shared" si="30"/>
        <v>"docs_url":"https://looker.com/docs/r/lookml/types/entitlements/external_api_urls?version=7.14&amp;lookml=new",</v>
      </c>
      <c r="S287" t="str">
        <f t="shared" si="31"/>
        <v>"has_allowed_values":False,</v>
      </c>
      <c r="T287" t="str">
        <f t="shared" si="32"/>
        <v>"allowed_values":""</v>
      </c>
    </row>
    <row r="288" spans="1:20" ht="13" x14ac:dyDescent="0.15">
      <c r="A288" s="7">
        <v>318</v>
      </c>
      <c r="B288" s="6" t="s">
        <v>504</v>
      </c>
      <c r="C288" s="6" t="s">
        <v>115</v>
      </c>
      <c r="D288" s="4" t="s">
        <v>598</v>
      </c>
      <c r="E288" s="4" t="s">
        <v>598</v>
      </c>
      <c r="F288" s="4">
        <v>3</v>
      </c>
      <c r="H288" s="4" t="s">
        <v>423</v>
      </c>
      <c r="I288" s="4" t="b">
        <v>0</v>
      </c>
      <c r="K288" s="4" t="b">
        <f>IF(COUNTIF($B$2:$B288,B288)&gt;1,TRUE,FALSE)</f>
        <v>0</v>
      </c>
      <c r="L288" t="str">
        <f>IF(
K288,"p["""&amp;B288&amp;"""].update({"&amp;""""&amp;C288&amp;""":{"&amp;_xlfn.CONCAT(N288:T288)&amp;"}})","p.update("&amp;M288&amp;")"
)</f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>"{"&amp;""""&amp;B288
&amp;""":{"&amp;""""&amp;C288&amp;""":{"&amp;_xlfn.CONCAT(N288:T288)&amp;"}}}"</f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27"/>
        <v>"type":"list_quoted",</v>
      </c>
      <c r="O288" t="str">
        <f t="shared" si="28"/>
        <v>"subtype":"list_quoted",</v>
      </c>
      <c r="P288" t="str">
        <f t="shared" si="29"/>
        <v>"indent":3,</v>
      </c>
      <c r="Q288" t="str">
        <f t="shared" si="33"/>
        <v>"default_value":"",</v>
      </c>
      <c r="R288" t="str">
        <f t="shared" si="30"/>
        <v>"docs_url":"https://looker.com/docs/r/lookml/types/entitlements/oauth2_urls?version=7.14&amp;lookml=new",</v>
      </c>
      <c r="S288" t="str">
        <f t="shared" si="31"/>
        <v>"has_allowed_values":False,</v>
      </c>
      <c r="T288" t="str">
        <f t="shared" si="32"/>
        <v>"allowed_values":""</v>
      </c>
    </row>
    <row r="289" spans="1:20" ht="13" x14ac:dyDescent="0.15">
      <c r="A289" s="7">
        <v>319</v>
      </c>
      <c r="B289" s="6" t="s">
        <v>505</v>
      </c>
      <c r="C289" s="6" t="s">
        <v>115</v>
      </c>
      <c r="D289" s="4" t="s">
        <v>598</v>
      </c>
      <c r="E289" s="4" t="s">
        <v>598</v>
      </c>
      <c r="F289" s="4">
        <v>3</v>
      </c>
      <c r="H289" s="4" t="s">
        <v>424</v>
      </c>
      <c r="I289" s="4" t="b">
        <v>0</v>
      </c>
      <c r="K289" s="4" t="b">
        <f>IF(COUNTIF($B$2:$B289,B289)&gt;1,TRUE,FALSE)</f>
        <v>0</v>
      </c>
      <c r="L289" t="str">
        <f>IF(
K289,"p["""&amp;B289&amp;"""].update({"&amp;""""&amp;C289&amp;""":{"&amp;_xlfn.CONCAT(N289:T289)&amp;"}})","p.update("&amp;M289&amp;")"
)</f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>"{"&amp;""""&amp;B289
&amp;""":{"&amp;""""&amp;C289&amp;""":{"&amp;_xlfn.CONCAT(N289:T289)&amp;"}}}"</f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27"/>
        <v>"type":"list_quoted",</v>
      </c>
      <c r="O289" t="str">
        <f t="shared" si="28"/>
        <v>"subtype":"list_quoted",</v>
      </c>
      <c r="P289" t="str">
        <f t="shared" si="29"/>
        <v>"indent":3,</v>
      </c>
      <c r="Q289" t="str">
        <f t="shared" si="33"/>
        <v>"default_value":"",</v>
      </c>
      <c r="R289" t="str">
        <f t="shared" si="30"/>
        <v>"docs_url":"https://looker.com/docs/r/lookml/types/entitlements/global_user_attributes?version=7.14&amp;lookml=new",</v>
      </c>
      <c r="S289" t="str">
        <f t="shared" si="31"/>
        <v>"has_allowed_values":False,</v>
      </c>
      <c r="T289" t="str">
        <f t="shared" si="32"/>
        <v>"allowed_values":""</v>
      </c>
    </row>
    <row r="290" spans="1:20" ht="13" x14ac:dyDescent="0.15">
      <c r="A290" s="7">
        <v>320</v>
      </c>
      <c r="B290" s="6" t="s">
        <v>506</v>
      </c>
      <c r="C290" s="6" t="s">
        <v>115</v>
      </c>
      <c r="D290" s="4" t="s">
        <v>598</v>
      </c>
      <c r="E290" s="4" t="s">
        <v>598</v>
      </c>
      <c r="F290" s="4">
        <v>3</v>
      </c>
      <c r="H290" s="4" t="s">
        <v>425</v>
      </c>
      <c r="I290" s="4" t="b">
        <v>0</v>
      </c>
      <c r="K290" s="4" t="b">
        <f>IF(COUNTIF($B$2:$B290,B290)&gt;1,TRUE,FALSE)</f>
        <v>0</v>
      </c>
      <c r="L290" t="str">
        <f>IF(
K290,"p["""&amp;B290&amp;"""].update({"&amp;""""&amp;C290&amp;""":{"&amp;_xlfn.CONCAT(N290:T290)&amp;"}})","p.update("&amp;M290&amp;")"
)</f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>"{"&amp;""""&amp;B290
&amp;""":{"&amp;""""&amp;C290&amp;""":{"&amp;_xlfn.CONCAT(N290:T290)&amp;"}}}"</f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27"/>
        <v>"type":"list_quoted",</v>
      </c>
      <c r="O290" t="str">
        <f t="shared" si="28"/>
        <v>"subtype":"list_quoted",</v>
      </c>
      <c r="P290" t="str">
        <f t="shared" si="29"/>
        <v>"indent":3,</v>
      </c>
      <c r="Q290" t="str">
        <f t="shared" si="33"/>
        <v>"default_value":"",</v>
      </c>
      <c r="R290" t="str">
        <f t="shared" si="30"/>
        <v>"docs_url":"https://looker.com/docs/r/lookml/types/entitlements/scoped_user_attributes?version=7.14&amp;lookml=new",</v>
      </c>
      <c r="S290" t="str">
        <f t="shared" si="31"/>
        <v>"has_allowed_values":False,</v>
      </c>
      <c r="T290" t="str">
        <f t="shared" si="32"/>
        <v>"allowed_values":""</v>
      </c>
    </row>
    <row r="291" spans="1:20" ht="13" x14ac:dyDescent="0.15">
      <c r="A291" s="7">
        <v>323</v>
      </c>
      <c r="B291" s="6" t="s">
        <v>507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592</v>
      </c>
      <c r="H291" s="4" t="s">
        <v>426</v>
      </c>
      <c r="I291" s="4" t="b">
        <v>0</v>
      </c>
      <c r="K291" s="4" t="b">
        <f>IF(COUNTIF($B$2:$B291,B291)&gt;1,TRUE,FALSE)</f>
        <v>0</v>
      </c>
      <c r="L291" t="str">
        <f>IF(
K291,"p["""&amp;B291&amp;"""].update({"&amp;""""&amp;C291&amp;""":{"&amp;_xlfn.CONCAT(N291:T291)&amp;"}})","p.update("&amp;M291&amp;")"
)</f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>"{"&amp;""""&amp;B291
&amp;""":{"&amp;""""&amp;C291&amp;""":{"&amp;_xlfn.CONCAT(N291:T291)&amp;"}}}"</f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27"/>
        <v>"type":"string",</v>
      </c>
      <c r="O291" t="str">
        <f t="shared" si="28"/>
        <v>"subtype":"string",</v>
      </c>
      <c r="P291" t="str">
        <f t="shared" si="29"/>
        <v>"indent":1,</v>
      </c>
      <c r="Q291" t="str">
        <f t="shared" si="33"/>
        <v>"default_value":"",</v>
      </c>
      <c r="R291" t="str">
        <f t="shared" si="30"/>
        <v>"docs_url":"https://looker.com/docs/r/lookml/types/visualization/id?version=7.14&amp;lookml=new",</v>
      </c>
      <c r="S291" t="str">
        <f t="shared" si="31"/>
        <v>"has_allowed_values":False,</v>
      </c>
      <c r="T291" t="str">
        <f t="shared" si="32"/>
        <v>"allowed_values":""</v>
      </c>
    </row>
    <row r="292" spans="1:20" ht="13" x14ac:dyDescent="0.15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592</v>
      </c>
      <c r="H292" s="4" t="s">
        <v>427</v>
      </c>
      <c r="I292" s="4" t="b">
        <v>0</v>
      </c>
      <c r="K292" s="4" t="b">
        <f>IF(COUNTIF($B$2:$B292,B292)&gt;1,TRUE,FALSE)</f>
        <v>1</v>
      </c>
      <c r="L292" t="str">
        <f>IF(
K292,"p["""&amp;B292&amp;"""].update({"&amp;""""&amp;C292&amp;""":{"&amp;_xlfn.CONCAT(N292:T292)&amp;"}})","p.update("&amp;M292&amp;")"
)</f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>"{"&amp;""""&amp;B292
&amp;""":{"&amp;""""&amp;C292&amp;""":{"&amp;_xlfn.CONCAT(N292:T292)&amp;"}}}"</f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27"/>
        <v>"type":"string",</v>
      </c>
      <c r="O292" t="str">
        <f t="shared" si="28"/>
        <v>"subtype":"possibly-localized-string",</v>
      </c>
      <c r="P292" t="str">
        <f t="shared" si="29"/>
        <v>"indent":1,</v>
      </c>
      <c r="Q292" t="str">
        <f t="shared" si="33"/>
        <v>"default_value":"",</v>
      </c>
      <c r="R292" t="str">
        <f t="shared" si="30"/>
        <v>"docs_url":"https://looker.com/docs/r/lookml/types/visualization/label?version=7.14&amp;lookml=new",</v>
      </c>
      <c r="S292" t="str">
        <f t="shared" si="31"/>
        <v>"has_allowed_values":False,</v>
      </c>
      <c r="T292" t="str">
        <f t="shared" si="32"/>
        <v>"allowed_values":""</v>
      </c>
    </row>
    <row r="293" spans="1:20" ht="13" x14ac:dyDescent="0.15">
      <c r="A293" s="7">
        <v>325</v>
      </c>
      <c r="B293" s="6" t="s">
        <v>495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592</v>
      </c>
      <c r="H293" s="4" t="s">
        <v>428</v>
      </c>
      <c r="I293" s="4" t="b">
        <v>0</v>
      </c>
      <c r="K293" s="4" t="b">
        <f>IF(COUNTIF($B$2:$B293,B293)&gt;1,TRUE,FALSE)</f>
        <v>1</v>
      </c>
      <c r="L293" t="str">
        <f>IF(
K293,"p["""&amp;B293&amp;"""].update({"&amp;""""&amp;C293&amp;""":{"&amp;_xlfn.CONCAT(N293:T293)&amp;"}})","p.update("&amp;M293&amp;")"
)</f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>"{"&amp;""""&amp;B293
&amp;""":{"&amp;""""&amp;C293&amp;""":{"&amp;_xlfn.CONCAT(N293:T293)&amp;"}}}"</f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27"/>
        <v>"type":"string",</v>
      </c>
      <c r="O293" t="str">
        <f t="shared" si="28"/>
        <v>"subtype":"string",</v>
      </c>
      <c r="P293" t="str">
        <f t="shared" si="29"/>
        <v>"indent":1,</v>
      </c>
      <c r="Q293" t="str">
        <f t="shared" si="33"/>
        <v>"default_value":"",</v>
      </c>
      <c r="R293" t="str">
        <f t="shared" si="30"/>
        <v>"docs_url":"https://looker.com/docs/r/lookml/types/visualization/url?version=7.14&amp;lookml=new",</v>
      </c>
      <c r="S293" t="str">
        <f t="shared" si="31"/>
        <v>"has_allowed_values":False,</v>
      </c>
      <c r="T293" t="str">
        <f t="shared" si="32"/>
        <v>"allowed_values":""</v>
      </c>
    </row>
    <row r="294" spans="1:20" ht="13" x14ac:dyDescent="0.15">
      <c r="A294" s="7">
        <v>326</v>
      </c>
      <c r="B294" s="6" t="s">
        <v>508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592</v>
      </c>
      <c r="H294" s="4" t="s">
        <v>429</v>
      </c>
      <c r="I294" s="4" t="b">
        <v>0</v>
      </c>
      <c r="K294" s="4" t="b">
        <f>IF(COUNTIF($B$2:$B294,B294)&gt;1,TRUE,FALSE)</f>
        <v>0</v>
      </c>
      <c r="L294" t="str">
        <f>IF(
K294,"p["""&amp;B294&amp;"""].update({"&amp;""""&amp;C294&amp;""":{"&amp;_xlfn.CONCAT(N294:T294)&amp;"}})","p.update("&amp;M294&amp;")"
)</f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>"{"&amp;""""&amp;B294
&amp;""":{"&amp;""""&amp;C294&amp;""":{"&amp;_xlfn.CONCAT(N294:T294)&amp;"}}}"</f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27"/>
        <v>"type":"string",</v>
      </c>
      <c r="O294" t="str">
        <f t="shared" si="28"/>
        <v>"subtype":"string",</v>
      </c>
      <c r="P294" t="str">
        <f t="shared" si="29"/>
        <v>"indent":1,</v>
      </c>
      <c r="Q294" t="str">
        <f t="shared" si="33"/>
        <v>"default_value":"",</v>
      </c>
      <c r="R294" t="str">
        <f t="shared" si="30"/>
        <v>"docs_url":"https://looker.com/docs/r/lookml/types/visualization/sri_hash?version=7.14&amp;lookml=new",</v>
      </c>
      <c r="S294" t="str">
        <f t="shared" si="31"/>
        <v>"has_allowed_values":False,</v>
      </c>
      <c r="T294" t="str">
        <f t="shared" si="32"/>
        <v>"allowed_values":""</v>
      </c>
    </row>
    <row r="295" spans="1:20" ht="13" x14ac:dyDescent="0.15">
      <c r="A295" s="7">
        <v>327</v>
      </c>
      <c r="B295" s="6" t="s">
        <v>509</v>
      </c>
      <c r="C295" s="6" t="s">
        <v>127</v>
      </c>
      <c r="D295" s="4" t="s">
        <v>598</v>
      </c>
      <c r="E295" s="4" t="s">
        <v>598</v>
      </c>
      <c r="F295" s="4">
        <v>1</v>
      </c>
      <c r="H295" s="4" t="s">
        <v>430</v>
      </c>
      <c r="I295" s="4" t="b">
        <v>0</v>
      </c>
      <c r="K295" s="4" t="b">
        <f>IF(COUNTIF($B$2:$B295,B295)&gt;1,TRUE,FALSE)</f>
        <v>0</v>
      </c>
      <c r="L295" t="str">
        <f>IF(
K295,"p["""&amp;B295&amp;"""].update({"&amp;""""&amp;C295&amp;""":{"&amp;_xlfn.CONCAT(N295:T295)&amp;"}})","p.update("&amp;M295&amp;")"
)</f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>"{"&amp;""""&amp;B295
&amp;""":{"&amp;""""&amp;C295&amp;""":{"&amp;_xlfn.CONCAT(N295:T295)&amp;"}}}"</f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27"/>
        <v>"type":"list_quoted",</v>
      </c>
      <c r="O295" t="str">
        <f t="shared" si="28"/>
        <v>"subtype":"list_quoted",</v>
      </c>
      <c r="P295" t="str">
        <f t="shared" si="29"/>
        <v>"indent":1,</v>
      </c>
      <c r="Q295" t="str">
        <f t="shared" si="33"/>
        <v>"default_value":"",</v>
      </c>
      <c r="R295" t="str">
        <f t="shared" si="30"/>
        <v>"docs_url":"https://looker.com/docs/r/lookml/types/visualization/dependencies?version=7.14&amp;lookml=new",</v>
      </c>
      <c r="S295" t="str">
        <f t="shared" si="31"/>
        <v>"has_allowed_values":False,</v>
      </c>
      <c r="T295" t="str">
        <f t="shared" si="32"/>
        <v>"allowed_values":""</v>
      </c>
    </row>
    <row r="296" spans="1:20" ht="13" x14ac:dyDescent="0.15">
      <c r="A296" s="7">
        <v>328</v>
      </c>
      <c r="B296" s="6" t="s">
        <v>496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592</v>
      </c>
      <c r="H296" s="4" t="s">
        <v>431</v>
      </c>
      <c r="I296" s="4" t="b">
        <v>0</v>
      </c>
      <c r="K296" s="4" t="b">
        <f>IF(COUNTIF($B$2:$B296,B296)&gt;1,TRUE,FALSE)</f>
        <v>1</v>
      </c>
      <c r="L296" t="str">
        <f>IF(
K296,"p["""&amp;B296&amp;"""].update({"&amp;""""&amp;C296&amp;""":{"&amp;_xlfn.CONCAT(N296:T296)&amp;"}})","p.update("&amp;M296&amp;")"
)</f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>"{"&amp;""""&amp;B296
&amp;""":{"&amp;""""&amp;C296&amp;""":{"&amp;_xlfn.CONCAT(N296:T296)&amp;"}}}"</f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27"/>
        <v>"type":"string",</v>
      </c>
      <c r="O296" t="str">
        <f t="shared" si="28"/>
        <v>"subtype":"string",</v>
      </c>
      <c r="P296" t="str">
        <f t="shared" si="29"/>
        <v>"indent":1,</v>
      </c>
      <c r="Q296" t="str">
        <f t="shared" si="33"/>
        <v>"default_value":"",</v>
      </c>
      <c r="R296" t="str">
        <f t="shared" si="30"/>
        <v>"docs_url":"https://looker.com/docs/r/lookml/types/visualization/file?version=7.14&amp;lookml=new",</v>
      </c>
      <c r="S296" t="str">
        <f t="shared" si="31"/>
        <v>"has_allowed_values":False,</v>
      </c>
      <c r="T296" t="str">
        <f t="shared" si="32"/>
        <v>"allowed_values":""</v>
      </c>
    </row>
    <row r="297" spans="1:20" ht="13" x14ac:dyDescent="0.15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592</v>
      </c>
      <c r="H297" s="4" t="s">
        <v>432</v>
      </c>
      <c r="I297" s="4" t="b">
        <v>0</v>
      </c>
      <c r="K297" s="4" t="b">
        <f>IF(COUNTIF($B$2:$B297,B297)&gt;1,TRUE,FALSE)</f>
        <v>1</v>
      </c>
      <c r="L297" t="str">
        <f>IF(
K297,"p["""&amp;B297&amp;"""].update({"&amp;""""&amp;C297&amp;""":{"&amp;_xlfn.CONCAT(N297:T297)&amp;"}})","p.update("&amp;M297&amp;")"
)</f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>"{"&amp;""""&amp;B297
&amp;""":{"&amp;""""&amp;C297&amp;""":{"&amp;_xlfn.CONCAT(N297:T297)&amp;"}}}"</f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27"/>
        <v>"type":"string",</v>
      </c>
      <c r="O297" t="str">
        <f t="shared" si="28"/>
        <v>"subtype":"possibly-localized-string",</v>
      </c>
      <c r="P297" t="str">
        <f t="shared" si="29"/>
        <v>"indent":3,</v>
      </c>
      <c r="Q297" t="str">
        <f t="shared" si="33"/>
        <v>"default_value":"",</v>
      </c>
      <c r="R297" t="str">
        <f t="shared" si="30"/>
        <v>"docs_url":"https://looker.com/docs/r/lookml/types/action/label?version=7.14&amp;lookml=new",</v>
      </c>
      <c r="S297" t="str">
        <f t="shared" si="31"/>
        <v>"has_allowed_values":False,</v>
      </c>
      <c r="T297" t="str">
        <f t="shared" si="32"/>
        <v>"allowed_values":""</v>
      </c>
    </row>
    <row r="298" spans="1:20" ht="13" x14ac:dyDescent="0.15">
      <c r="A298" s="7">
        <v>332</v>
      </c>
      <c r="B298" s="6" t="s">
        <v>495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592</v>
      </c>
      <c r="H298" s="4" t="s">
        <v>433</v>
      </c>
      <c r="I298" s="4" t="b">
        <v>0</v>
      </c>
      <c r="K298" s="4" t="b">
        <f>IF(COUNTIF($B$2:$B298,B298)&gt;1,TRUE,FALSE)</f>
        <v>1</v>
      </c>
      <c r="L298" t="str">
        <f>IF(
K298,"p["""&amp;B298&amp;"""].update({"&amp;""""&amp;C298&amp;""":{"&amp;_xlfn.CONCAT(N298:T298)&amp;"}})","p.update("&amp;M298&amp;")"
)</f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>"{"&amp;""""&amp;B298
&amp;""":{"&amp;""""&amp;C298&amp;""":{"&amp;_xlfn.CONCAT(N298:T298)&amp;"}}}"</f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27"/>
        <v>"type":"string",</v>
      </c>
      <c r="O298" t="str">
        <f t="shared" si="28"/>
        <v>"subtype":"string",</v>
      </c>
      <c r="P298" t="str">
        <f t="shared" si="29"/>
        <v>"indent":3,</v>
      </c>
      <c r="Q298" t="str">
        <f t="shared" si="33"/>
        <v>"default_value":"",</v>
      </c>
      <c r="R298" t="str">
        <f t="shared" si="30"/>
        <v>"docs_url":"https://looker.com/docs/r/lookml/types/action/url?version=7.14&amp;lookml=new",</v>
      </c>
      <c r="S298" t="str">
        <f t="shared" si="31"/>
        <v>"has_allowed_values":False,</v>
      </c>
      <c r="T298" t="str">
        <f t="shared" si="32"/>
        <v>"allowed_values":""</v>
      </c>
    </row>
    <row r="299" spans="1:20" ht="13" x14ac:dyDescent="0.15">
      <c r="A299" s="7">
        <v>333</v>
      </c>
      <c r="B299" s="6" t="s">
        <v>510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592</v>
      </c>
      <c r="H299" s="4" t="s">
        <v>434</v>
      </c>
      <c r="I299" s="4" t="b">
        <v>0</v>
      </c>
      <c r="K299" s="4" t="b">
        <f>IF(COUNTIF($B$2:$B299,B299)&gt;1,TRUE,FALSE)</f>
        <v>0</v>
      </c>
      <c r="L299" t="str">
        <f>IF(
K299,"p["""&amp;B299&amp;"""].update({"&amp;""""&amp;C299&amp;""":{"&amp;_xlfn.CONCAT(N299:T299)&amp;"}})","p.update("&amp;M299&amp;")"
)</f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>"{"&amp;""""&amp;B299
&amp;""":{"&amp;""""&amp;C299&amp;""":{"&amp;_xlfn.CONCAT(N299:T299)&amp;"}}}"</f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27"/>
        <v>"type":"string",</v>
      </c>
      <c r="O299" t="str">
        <f t="shared" si="28"/>
        <v>"subtype":"string",</v>
      </c>
      <c r="P299" t="str">
        <f t="shared" si="29"/>
        <v>"indent":3,</v>
      </c>
      <c r="Q299" t="str">
        <f t="shared" si="33"/>
        <v>"default_value":"",</v>
      </c>
      <c r="R299" t="str">
        <f t="shared" si="30"/>
        <v>"docs_url":"https://looker.com/docs/r/lookml/types/action/icon_url?version=7.14&amp;lookml=new",</v>
      </c>
      <c r="S299" t="str">
        <f t="shared" si="31"/>
        <v>"has_allowed_values":False,</v>
      </c>
      <c r="T299" t="str">
        <f t="shared" si="32"/>
        <v>"allowed_values":""</v>
      </c>
    </row>
    <row r="300" spans="1:20" ht="13" x14ac:dyDescent="0.15">
      <c r="A300" s="7">
        <v>334</v>
      </c>
      <c r="B300" s="6" t="s">
        <v>511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592</v>
      </c>
      <c r="H300" s="4" t="s">
        <v>435</v>
      </c>
      <c r="I300" s="4" t="b">
        <v>0</v>
      </c>
      <c r="K300" s="4" t="b">
        <f>IF(COUNTIF($B$2:$B300,B300)&gt;1,TRUE,FALSE)</f>
        <v>0</v>
      </c>
      <c r="L300" t="str">
        <f>IF(
K300,"p["""&amp;B300&amp;"""].update({"&amp;""""&amp;C300&amp;""":{"&amp;_xlfn.CONCAT(N300:T300)&amp;"}})","p.update("&amp;M300&amp;")"
)</f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>"{"&amp;""""&amp;B300
&amp;""":{"&amp;""""&amp;C300&amp;""":{"&amp;_xlfn.CONCAT(N300:T300)&amp;"}}}"</f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27"/>
        <v>"type":"string",</v>
      </c>
      <c r="O300" t="str">
        <f t="shared" si="28"/>
        <v>"subtype":"string",</v>
      </c>
      <c r="P300" t="str">
        <f t="shared" si="29"/>
        <v>"indent":3,</v>
      </c>
      <c r="Q300" t="str">
        <f t="shared" si="33"/>
        <v>"default_value":"",</v>
      </c>
      <c r="R300" t="str">
        <f t="shared" si="30"/>
        <v>"docs_url":"https://looker.com/docs/r/lookml/types/action/form_url?version=7.14&amp;lookml=new",</v>
      </c>
      <c r="S300" t="str">
        <f t="shared" si="31"/>
        <v>"has_allowed_values":False,</v>
      </c>
      <c r="T300" t="str">
        <f t="shared" si="32"/>
        <v>"allowed_values":""</v>
      </c>
    </row>
    <row r="301" spans="1:20" ht="13" x14ac:dyDescent="0.15">
      <c r="A301" s="7">
        <v>335</v>
      </c>
      <c r="B301" s="6" t="s">
        <v>512</v>
      </c>
      <c r="C301" s="6" t="s">
        <v>1</v>
      </c>
      <c r="D301" s="4" t="s">
        <v>540</v>
      </c>
      <c r="E301" s="4" t="s">
        <v>540</v>
      </c>
      <c r="F301" s="4">
        <v>3</v>
      </c>
      <c r="H301" s="4" t="s">
        <v>436</v>
      </c>
      <c r="I301" s="4" t="b">
        <v>0</v>
      </c>
      <c r="K301" s="4" t="b">
        <f>IF(COUNTIF($B$2:$B301,B301)&gt;1,TRUE,FALSE)</f>
        <v>0</v>
      </c>
      <c r="L301" t="str">
        <f>IF(
K301,"p["""&amp;B301&amp;"""].update({"&amp;""""&amp;C301&amp;""":{"&amp;_xlfn.CONCAT(N301:T301)&amp;"}})","p.update("&amp;M301&amp;")"
)</f>
        <v>p.update({"param":{"action":{"type":"anonymous_construct","subtype":"anonymous_construct","indent":3,"default_value":"","docs_url":"https://looker.com/docs/r/lookml/types/action/param?version=7.14&amp;lookml=new","has_allowed_values":False,"allowed_values":""}}})</v>
      </c>
      <c r="M301" t="str">
        <f>"{"&amp;""""&amp;B301
&amp;""":{"&amp;""""&amp;C301&amp;""":{"&amp;_xlfn.CONCAT(N301:T301)&amp;"}}}"</f>
        <v>{"param":{"action":{"type":"anonymous_construct","subtype":"anonymous_construct","indent":3,"default_value":"","docs_url":"https://looker.com/docs/r/lookml/types/action/param?version=7.14&amp;lookml=new","has_allowed_values":False,"allowed_values":""}}}</v>
      </c>
      <c r="N301" t="str">
        <f t="shared" si="27"/>
        <v>"type":"anonymous_construct",</v>
      </c>
      <c r="O301" t="str">
        <f t="shared" si="28"/>
        <v>"subtype":"anonymous_construct",</v>
      </c>
      <c r="P301" t="str">
        <f t="shared" si="29"/>
        <v>"indent":3,</v>
      </c>
      <c r="Q301" t="str">
        <f t="shared" si="33"/>
        <v>"default_value":"",</v>
      </c>
      <c r="R301" t="str">
        <f t="shared" si="30"/>
        <v>"docs_url":"https://looker.com/docs/r/lookml/types/action/param?version=7.14&amp;lookml=new",</v>
      </c>
      <c r="S301" t="str">
        <f t="shared" si="31"/>
        <v>"has_allowed_values":False,</v>
      </c>
      <c r="T301" t="str">
        <f t="shared" si="32"/>
        <v>"allowed_values":""</v>
      </c>
    </row>
    <row r="302" spans="1:20" ht="13" x14ac:dyDescent="0.15">
      <c r="A302" s="7">
        <v>336</v>
      </c>
      <c r="B302" s="6" t="s">
        <v>513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437</v>
      </c>
      <c r="I302" s="4" t="b">
        <v>0</v>
      </c>
      <c r="K302" s="4" t="b">
        <f>IF(COUNTIF($B$2:$B302,B302)&gt;1,TRUE,FALSE)</f>
        <v>0</v>
      </c>
      <c r="L302" t="str">
        <f>IF(
K302,"p["""&amp;B302&amp;"""].update({"&amp;""""&amp;C302&amp;""":{"&amp;_xlfn.CONCAT(N302:T302)&amp;"}})","p.update("&amp;M302&amp;")"
)</f>
        <v>p.update({"form_param":{"action":{"type":"anonymous_construct","subtype":"anonymous_construct","indent":3,"default_value":"","docs_url":"https://looker.com/docs/r/lookml/types/action/form_param?version=7.14&amp;lookml=new","has_allowed_values":False,"allowed_values":""}}})</v>
      </c>
      <c r="M302" t="str">
        <f>"{"&amp;""""&amp;B302
&amp;""":{"&amp;""""&amp;C302&amp;""":{"&amp;_xlfn.CONCAT(N302:T302)&amp;"}}}"</f>
        <v>{"form_param":{"action":{"type":"anonymous_construct","subtype":"anonymous_construct","indent":3,"default_value":"","docs_url":"https://looker.com/docs/r/lookml/types/action/form_param?version=7.14&amp;lookml=new","has_allowed_values":False,"allowed_values":""}}}</v>
      </c>
      <c r="N302" t="str">
        <f t="shared" si="27"/>
        <v>"type":"anonymous_construct",</v>
      </c>
      <c r="O302" t="str">
        <f t="shared" si="28"/>
        <v>"subtype":"anonymous_construct",</v>
      </c>
      <c r="P302" t="str">
        <f t="shared" si="29"/>
        <v>"indent":3,</v>
      </c>
      <c r="Q302" t="str">
        <f t="shared" si="33"/>
        <v>"default_value":"",</v>
      </c>
      <c r="R302" t="str">
        <f t="shared" si="30"/>
        <v>"docs_url":"https://looker.com/docs/r/lookml/types/action/form_param?version=7.14&amp;lookml=new",</v>
      </c>
      <c r="S302" t="str">
        <f t="shared" si="31"/>
        <v>"has_allowed_values":False,</v>
      </c>
      <c r="T302" t="str">
        <f t="shared" si="32"/>
        <v>"allowed_values":""</v>
      </c>
    </row>
    <row r="303" spans="1:20" ht="13" x14ac:dyDescent="0.15">
      <c r="A303" s="7">
        <v>337</v>
      </c>
      <c r="B303" s="6" t="s">
        <v>514</v>
      </c>
      <c r="C303" s="6" t="s">
        <v>1</v>
      </c>
      <c r="D303" s="4" t="s">
        <v>540</v>
      </c>
      <c r="E303" s="4" t="s">
        <v>540</v>
      </c>
      <c r="F303" s="4">
        <v>3</v>
      </c>
      <c r="H303" s="4" t="s">
        <v>438</v>
      </c>
      <c r="I303" s="4" t="b">
        <v>0</v>
      </c>
      <c r="K303" s="4" t="b">
        <f>IF(COUNTIF($B$2:$B303,B303)&gt;1,TRUE,FALSE)</f>
        <v>0</v>
      </c>
      <c r="L303" t="str">
        <f>IF(
K303,"p["""&amp;B303&amp;"""].update({"&amp;""""&amp;C303&amp;""":{"&amp;_xlfn.CONCAT(N303:T303)&amp;"}})","p.update("&amp;M303&amp;")"
)</f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>"{"&amp;""""&amp;B303
&amp;""":{"&amp;""""&amp;C303&amp;""":{"&amp;_xlfn.CONCAT(N303:T303)&amp;"}}}"</f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27"/>
        <v>"type":"anonymous_construct",</v>
      </c>
      <c r="O303" t="str">
        <f t="shared" si="28"/>
        <v>"subtype":"anonymous_construct",</v>
      </c>
      <c r="P303" t="str">
        <f t="shared" si="29"/>
        <v>"indent":3,</v>
      </c>
      <c r="Q303" t="str">
        <f t="shared" si="33"/>
        <v>"default_value":"",</v>
      </c>
      <c r="R303" t="str">
        <f t="shared" si="30"/>
        <v>"docs_url":"https://looker.com/docs/r/lookml/types/action/user_attribute_param?version=7.14&amp;lookml=new",</v>
      </c>
      <c r="S303" t="str">
        <f t="shared" si="31"/>
        <v>"has_allowed_values":False,</v>
      </c>
      <c r="T303" t="str">
        <f t="shared" si="32"/>
        <v>"allowed_values":""</v>
      </c>
    </row>
    <row r="304" spans="1:20" ht="13" x14ac:dyDescent="0.15">
      <c r="A304" s="7">
        <v>340</v>
      </c>
      <c r="B304" s="6" t="s">
        <v>515</v>
      </c>
      <c r="C304" s="6" t="s">
        <v>128</v>
      </c>
      <c r="D304" s="4" t="s">
        <v>0</v>
      </c>
      <c r="E304" s="4" t="s">
        <v>0</v>
      </c>
      <c r="F304" s="4">
        <v>3</v>
      </c>
      <c r="G304" s="4" t="s">
        <v>592</v>
      </c>
      <c r="H304" s="4" t="s">
        <v>439</v>
      </c>
      <c r="I304" s="4" t="b">
        <v>0</v>
      </c>
      <c r="K304" s="4" t="b">
        <f>IF(COUNTIF($B$2:$B304,B304)&gt;1,TRUE,FALSE)</f>
        <v>0</v>
      </c>
      <c r="L304" t="str">
        <f>IF(
K304,"p["""&amp;B304&amp;"""].update({"&amp;""""&amp;C304&amp;""":{"&amp;_xlfn.CONCAT(N304:T304)&amp;"}})","p.update("&amp;M304&amp;")"
)</f>
        <v>p.update({"name":{"form":{"type":"string","subtype":"string","indent":3,"default_value":"","docs_url":"https://looker.com/docs/r/lookml/types/form_param/name?version=7.14&amp;lookml=new","has_allowed_values":False,"allowed_values":""}}})</v>
      </c>
      <c r="M304" t="str">
        <f>"{"&amp;""""&amp;B304
&amp;""":{"&amp;""""&amp;C304&amp;""":{"&amp;_xlfn.CONCAT(N304:T304)&amp;"}}}"</f>
        <v>{"name":{"form":{"type":"string","subtype":"string","indent":3,"default_value":"","docs_url":"https://looker.com/docs/r/lookml/types/form_param/name?version=7.14&amp;lookml=new","has_allowed_values":False,"allowed_values":""}}}</v>
      </c>
      <c r="N304" t="str">
        <f t="shared" si="27"/>
        <v>"type":"string",</v>
      </c>
      <c r="O304" t="str">
        <f t="shared" si="28"/>
        <v>"subtype":"string",</v>
      </c>
      <c r="P304" t="str">
        <f t="shared" si="29"/>
        <v>"indent":3,</v>
      </c>
      <c r="Q304" t="str">
        <f t="shared" si="33"/>
        <v>"default_value":"",</v>
      </c>
      <c r="R304" t="str">
        <f t="shared" si="30"/>
        <v>"docs_url":"https://looker.com/docs/r/lookml/types/form_param/name?version=7.14&amp;lookml=new",</v>
      </c>
      <c r="S304" t="str">
        <f t="shared" si="31"/>
        <v>"has_allowed_values":False,</v>
      </c>
      <c r="T304" t="str">
        <f t="shared" si="32"/>
        <v>"allowed_values":""</v>
      </c>
    </row>
    <row r="305" spans="1:20" ht="13" x14ac:dyDescent="0.15">
      <c r="A305" s="7">
        <v>341</v>
      </c>
      <c r="B305" s="6" t="s">
        <v>49</v>
      </c>
      <c r="C305" s="6" t="s">
        <v>128</v>
      </c>
      <c r="D305" s="4" t="s">
        <v>551</v>
      </c>
      <c r="E305" s="4" t="s">
        <v>551</v>
      </c>
      <c r="F305" s="4">
        <v>4</v>
      </c>
      <c r="G305" s="4" t="s">
        <v>557</v>
      </c>
      <c r="H305" s="4" t="s">
        <v>440</v>
      </c>
      <c r="I305" s="4" t="b">
        <v>1</v>
      </c>
      <c r="J305" s="4" t="s">
        <v>555</v>
      </c>
      <c r="K305" s="4" t="b">
        <f>IF(COUNTIF($B$2:$B305,B305)&gt;1,TRUE,FALSE)</f>
        <v>1</v>
      </c>
      <c r="L305" t="str">
        <f>IF(
K305,"p["""&amp;B305&amp;"""].update({"&amp;""""&amp;C305&amp;""":{"&amp;_xlfn.CONCAT(N305:T305)&amp;"}})","p.update("&amp;M305&amp;")"
)</f>
        <v>p["type"].update({"form":{"type":"options","subtype":"options","indent":4,"default_value":"textarea","docs_url":"https://looker.com/docs/r/lookml/types/form_param/type?version=7.14&amp;lookml=new","has_allowed_values":True,"allowed_values":["select","string","textarea"]}})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>"{"&amp;""""&amp;B305
&amp;""":{"&amp;""""&amp;C305&amp;""":{"&amp;_xlfn.CONCAT(N305:T305)&amp;"}}}"</f>
        <v>{"type":{"form":{"type":"options","subtype":"options","indent":4,"default_value":"textarea","docs_url":"https://looker.com/docs/r/lookml/types/form_param/type?version=7.14&amp;lookml=new","has_allowed_values":True,"allowed_values":["select","string","textarea"]}}}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27"/>
        <v>"type":"options",</v>
      </c>
      <c r="O305" t="str">
        <f t="shared" si="28"/>
        <v>"subtype":"options",</v>
      </c>
      <c r="P305" t="str">
        <f t="shared" si="29"/>
        <v>"indent":4,</v>
      </c>
      <c r="Q305" t="str">
        <f t="shared" si="33"/>
        <v>"default_value":"textarea",</v>
      </c>
      <c r="R305" t="str">
        <f t="shared" si="30"/>
        <v>"docs_url":"https://looker.com/docs/r/lookml/types/form_param/type?version=7.14&amp;lookml=new",</v>
      </c>
      <c r="S305" t="str">
        <f t="shared" si="31"/>
        <v>"has_allowed_values":True,</v>
      </c>
      <c r="T305" t="str">
        <f t="shared" si="32"/>
        <v>"allowed_values":["select","string","textarea"]</v>
      </c>
    </row>
    <row r="306" spans="1:20" ht="13" x14ac:dyDescent="0.15">
      <c r="A306" s="7">
        <v>342</v>
      </c>
      <c r="B306" s="6" t="s">
        <v>23</v>
      </c>
      <c r="C306" s="6" t="s">
        <v>128</v>
      </c>
      <c r="D306" s="4" t="s">
        <v>29</v>
      </c>
      <c r="E306" s="4" t="s">
        <v>0</v>
      </c>
      <c r="F306" s="4">
        <v>4</v>
      </c>
      <c r="G306" s="4" t="s">
        <v>592</v>
      </c>
      <c r="H306" s="4" t="s">
        <v>441</v>
      </c>
      <c r="I306" s="4" t="b">
        <v>0</v>
      </c>
      <c r="K306" s="4" t="b">
        <f>IF(COUNTIF($B$2:$B306,B306)&gt;1,TRUE,FALSE)</f>
        <v>1</v>
      </c>
      <c r="L306" t="str">
        <f>IF(
K306,"p["""&amp;B306&amp;"""].update({"&amp;""""&amp;C306&amp;""":{"&amp;_xlfn.CONCAT(N306:T306)&amp;"}})","p.update("&amp;M306&amp;")"
)</f>
        <v>p["label"].update({"form":{"type":"string","subtype":"possibly-localized-string","indent":4,"default_value":"","docs_url":"https://looker.com/docs/r/lookml/types/form_param/label?version=7.14&amp;lookml=new","has_allowed_values":False,"allowed_values":""}})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>"{"&amp;""""&amp;B306
&amp;""":{"&amp;""""&amp;C306&amp;""":{"&amp;_xlfn.CONCAT(N306:T306)&amp;"}}}"</f>
        <v>{"label":{"form":{"type":"string","subtype":"possibly-localized-string","indent":4,"default_value":"","docs_url":"https://looker.com/docs/r/lookml/types/form_param/label?version=7.14&amp;lookml=new","has_allowed_values":False,"allowed_values":""}}}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27"/>
        <v>"type":"string",</v>
      </c>
      <c r="O306" t="str">
        <f t="shared" si="28"/>
        <v>"subtype":"possibly-localized-string",</v>
      </c>
      <c r="P306" t="str">
        <f t="shared" si="29"/>
        <v>"indent":4,</v>
      </c>
      <c r="Q306" t="str">
        <f t="shared" si="33"/>
        <v>"default_value":"",</v>
      </c>
      <c r="R306" t="str">
        <f t="shared" si="30"/>
        <v>"docs_url":"https://looker.com/docs/r/lookml/types/form_param/label?version=7.14&amp;lookml=new",</v>
      </c>
      <c r="S306" t="str">
        <f t="shared" si="31"/>
        <v>"has_allowed_values":False,</v>
      </c>
      <c r="T306" t="str">
        <f t="shared" si="32"/>
        <v>"allowed_values":""</v>
      </c>
    </row>
    <row r="307" spans="1:20" ht="13" x14ac:dyDescent="0.15">
      <c r="A307" s="7">
        <v>343</v>
      </c>
      <c r="B307" s="6" t="s">
        <v>129</v>
      </c>
      <c r="C307" s="6" t="s">
        <v>128</v>
      </c>
      <c r="D307" s="4" t="s">
        <v>540</v>
      </c>
      <c r="E307" s="4" t="s">
        <v>540</v>
      </c>
      <c r="F307" s="4">
        <v>4</v>
      </c>
      <c r="H307" s="4" t="s">
        <v>442</v>
      </c>
      <c r="I307" s="4" t="b">
        <v>0</v>
      </c>
      <c r="K307" s="4" t="b">
        <f>IF(COUNTIF($B$2:$B307,B307)&gt;1,TRUE,FALSE)</f>
        <v>0</v>
      </c>
      <c r="L307" t="str">
        <f>IF(
K307,"p["""&amp;B307&amp;"""].update({"&amp;""""&amp;C307&amp;""":{"&amp;_xlfn.CONCAT(N307:T307)&amp;"}})","p.update("&amp;M307&amp;")"
)</f>
        <v>p.update({"option":{"form":{"type":"anonymous_construct","subtype":"anonymous_construct","indent":4,"default_value":"","docs_url":"https://looker.com/docs/r/lookml/types/form_param/option?version=7.14&amp;lookml=new","has_allowed_values":False,"allowed_values":""}}})</v>
      </c>
      <c r="M307" t="str">
        <f>"{"&amp;""""&amp;B307
&amp;""":{"&amp;""""&amp;C307&amp;""":{"&amp;_xlfn.CONCAT(N307:T307)&amp;"}}}"</f>
        <v>{"option":{"form":{"type":"anonymous_construct","subtype":"anonymous_construct","indent":4,"default_value":"","docs_url":"https://looker.com/docs/r/lookml/types/form_param/option?version=7.14&amp;lookml=new","has_allowed_values":False,"allowed_values":""}}}</v>
      </c>
      <c r="N307" t="str">
        <f t="shared" si="27"/>
        <v>"type":"anonymous_construct",</v>
      </c>
      <c r="O307" t="str">
        <f t="shared" si="28"/>
        <v>"subtype":"anonymous_construct",</v>
      </c>
      <c r="P307" t="str">
        <f t="shared" si="29"/>
        <v>"indent":4,</v>
      </c>
      <c r="Q307" t="str">
        <f t="shared" si="33"/>
        <v>"default_value":"",</v>
      </c>
      <c r="R307" t="str">
        <f t="shared" si="30"/>
        <v>"docs_url":"https://looker.com/docs/r/lookml/types/form_param/option?version=7.14&amp;lookml=new",</v>
      </c>
      <c r="S307" t="str">
        <f t="shared" si="31"/>
        <v>"has_allowed_values":False,</v>
      </c>
      <c r="T307" t="str">
        <f t="shared" si="32"/>
        <v>"allowed_values":""</v>
      </c>
    </row>
    <row r="308" spans="1:20" ht="13" x14ac:dyDescent="0.15">
      <c r="A308" s="7">
        <v>344</v>
      </c>
      <c r="B308" s="6" t="s">
        <v>516</v>
      </c>
      <c r="C308" s="6" t="s">
        <v>128</v>
      </c>
      <c r="D308" s="4" t="s">
        <v>569</v>
      </c>
      <c r="E308" s="4" t="s">
        <v>569</v>
      </c>
      <c r="F308" s="4">
        <v>4</v>
      </c>
      <c r="G308" s="4" t="s">
        <v>604</v>
      </c>
      <c r="H308" s="4" t="s">
        <v>443</v>
      </c>
      <c r="I308" s="4" t="b">
        <v>0</v>
      </c>
      <c r="K308" s="4" t="b">
        <f>IF(COUNTIF($B$2:$B308,B308)&gt;1,TRUE,FALSE)</f>
        <v>0</v>
      </c>
      <c r="L308" t="str">
        <f>IF(
K308,"p["""&amp;B308&amp;"""].update({"&amp;""""&amp;C308&amp;""":{"&amp;_xlfn.CONCAT(N308:T308)&amp;"}})","p.update("&amp;M308&amp;")"
)</f>
        <v>p.update({"required":{"form":{"type":"yesno","subtype":"yesno","indent":4,"default_value":"no","docs_url":"https://looker.com/docs/r/lookml/types/form_param/required?version=7.14&amp;lookml=new","has_allowed_values":False,"allowed_values":""}}})</v>
      </c>
      <c r="M308" t="str">
        <f>"{"&amp;""""&amp;B308
&amp;""":{"&amp;""""&amp;C308&amp;""":{"&amp;_xlfn.CONCAT(N308:T308)&amp;"}}}"</f>
        <v>{"required":{"form":{"type":"yesno","subtype":"yesno","indent":4,"default_value":"no","docs_url":"https://looker.com/docs/r/lookml/types/form_param/required?version=7.14&amp;lookml=new","has_allowed_values":False,"allowed_values":""}}}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27"/>
        <v>"type":"yesno",</v>
      </c>
      <c r="O308" t="str">
        <f t="shared" si="28"/>
        <v>"subtype":"yesno",</v>
      </c>
      <c r="P308" t="str">
        <f t="shared" si="29"/>
        <v>"indent":4,</v>
      </c>
      <c r="Q308" t="str">
        <f t="shared" si="33"/>
        <v>"default_value":"no",</v>
      </c>
      <c r="R308" t="str">
        <f t="shared" si="30"/>
        <v>"docs_url":"https://looker.com/docs/r/lookml/types/form_param/required?version=7.14&amp;lookml=new",</v>
      </c>
      <c r="S308" t="str">
        <f t="shared" si="31"/>
        <v>"has_allowed_values":False,</v>
      </c>
      <c r="T308" t="str">
        <f t="shared" si="32"/>
        <v>"allowed_values":""</v>
      </c>
    </row>
    <row r="309" spans="1:20" ht="13" x14ac:dyDescent="0.15">
      <c r="A309" s="7">
        <v>345</v>
      </c>
      <c r="B309" s="6" t="s">
        <v>11</v>
      </c>
      <c r="C309" s="6" t="s">
        <v>128</v>
      </c>
      <c r="D309" s="4" t="s">
        <v>29</v>
      </c>
      <c r="E309" s="4" t="s">
        <v>0</v>
      </c>
      <c r="F309" s="4">
        <v>4</v>
      </c>
      <c r="G309" s="4" t="s">
        <v>592</v>
      </c>
      <c r="H309" s="4" t="s">
        <v>444</v>
      </c>
      <c r="I309" s="4" t="b">
        <v>0</v>
      </c>
      <c r="K309" s="4" t="b">
        <f>IF(COUNTIF($B$2:$B309,B309)&gt;1,TRUE,FALSE)</f>
        <v>1</v>
      </c>
      <c r="L309" t="str">
        <f>IF(
K309,"p["""&amp;B309&amp;"""].update({"&amp;""""&amp;C309&amp;""":{"&amp;_xlfn.CONCAT(N309:T309)&amp;"}})","p.update("&amp;M309&amp;")"
)</f>
        <v>p["description"].update({"form":{"type":"string","subtype":"possibly-localized-string","indent":4,"default_value":"","docs_url":"https://looker.com/docs/r/lookml/types/form_param/description?version=7.14&amp;lookml=new","has_allowed_values":False,"allowed_values":""}})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>"{"&amp;""""&amp;B309
&amp;""":{"&amp;""""&amp;C309&amp;""":{"&amp;_xlfn.CONCAT(N309:T309)&amp;"}}}"</f>
        <v>{"description":{"form":{"type":"string","subtype":"possibly-localized-string","indent":4,"default_value":"","docs_url":"https://looker.com/docs/r/lookml/types/form_param/description?version=7.14&amp;lookml=new","has_allowed_values":False,"allowed_values":""}}}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27"/>
        <v>"type":"string",</v>
      </c>
      <c r="O309" t="str">
        <f t="shared" si="28"/>
        <v>"subtype":"possibly-localized-string",</v>
      </c>
      <c r="P309" t="str">
        <f t="shared" si="29"/>
        <v>"indent":4,</v>
      </c>
      <c r="Q309" t="str">
        <f t="shared" si="33"/>
        <v>"default_value":"",</v>
      </c>
      <c r="R309" t="str">
        <f t="shared" si="30"/>
        <v>"docs_url":"https://looker.com/docs/r/lookml/types/form_param/description?version=7.14&amp;lookml=new",</v>
      </c>
      <c r="S309" t="str">
        <f t="shared" si="31"/>
        <v>"has_allowed_values":False,</v>
      </c>
      <c r="T309" t="str">
        <f t="shared" si="32"/>
        <v>"allowed_values":""</v>
      </c>
    </row>
    <row r="310" spans="1:20" ht="13" x14ac:dyDescent="0.15">
      <c r="A310" s="7">
        <v>346</v>
      </c>
      <c r="B310" s="6" t="s">
        <v>517</v>
      </c>
      <c r="C310" s="6" t="s">
        <v>128</v>
      </c>
      <c r="D310" s="4" t="s">
        <v>0</v>
      </c>
      <c r="E310" s="4" t="s">
        <v>0</v>
      </c>
      <c r="F310" s="4">
        <v>4</v>
      </c>
      <c r="G310" s="4" t="s">
        <v>592</v>
      </c>
      <c r="H310" s="4" t="s">
        <v>445</v>
      </c>
      <c r="I310" s="4" t="b">
        <v>0</v>
      </c>
      <c r="K310" s="4" t="b">
        <f>IF(COUNTIF($B$2:$B310,B310)&gt;1,TRUE,FALSE)</f>
        <v>0</v>
      </c>
      <c r="L310" t="str">
        <f>IF(
K310,"p["""&amp;B310&amp;"""].update({"&amp;""""&amp;C310&amp;""":{"&amp;_xlfn.CONCAT(N310:T310)&amp;"}})","p.update("&amp;M310&amp;")"
)</f>
        <v>p.update({"default":{"form":{"type":"string","subtype":"string","indent":4,"default_value":"","docs_url":"https://looker.com/docs/r/lookml/types/form_param/default?version=7.14&amp;lookml=new","has_allowed_values":False,"allowed_values":""}}})</v>
      </c>
      <c r="M310" t="str">
        <f>"{"&amp;""""&amp;B310
&amp;""":{"&amp;""""&amp;C310&amp;""":{"&amp;_xlfn.CONCAT(N310:T310)&amp;"}}}"</f>
        <v>{"default":{"form":{"type":"string","subtype":"string","indent":4,"default_value":"","docs_url":"https://looker.com/docs/r/lookml/types/form_param/default?version=7.14&amp;lookml=new","has_allowed_values":False,"allowed_values":""}}}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27"/>
        <v>"type":"string",</v>
      </c>
      <c r="O310" t="str">
        <f t="shared" si="28"/>
        <v>"subtype":"string",</v>
      </c>
      <c r="P310" t="str">
        <f t="shared" si="29"/>
        <v>"indent":4,</v>
      </c>
      <c r="Q310" t="str">
        <f t="shared" si="33"/>
        <v>"default_value":"",</v>
      </c>
      <c r="R310" t="str">
        <f t="shared" si="30"/>
        <v>"docs_url":"https://looker.com/docs/r/lookml/types/form_param/default?version=7.14&amp;lookml=new",</v>
      </c>
      <c r="S310" t="str">
        <f t="shared" si="31"/>
        <v>"has_allowed_values":False,</v>
      </c>
      <c r="T310" t="str">
        <f t="shared" si="32"/>
        <v>"allowed_values":""</v>
      </c>
    </row>
    <row r="311" spans="1:20" ht="13" x14ac:dyDescent="0.15">
      <c r="A311" s="7">
        <v>349</v>
      </c>
      <c r="B311" s="6" t="s">
        <v>515</v>
      </c>
      <c r="C311" s="6" t="s">
        <v>129</v>
      </c>
      <c r="D311" s="4" t="s">
        <v>0</v>
      </c>
      <c r="E311" s="4" t="s">
        <v>0</v>
      </c>
      <c r="F311" s="4">
        <v>5</v>
      </c>
      <c r="G311" s="4" t="s">
        <v>592</v>
      </c>
      <c r="H311" s="4" t="s">
        <v>446</v>
      </c>
      <c r="I311" s="4" t="b">
        <v>0</v>
      </c>
      <c r="K311" s="4" t="b">
        <f>IF(COUNTIF($B$2:$B311,B311)&gt;1,TRUE,FALSE)</f>
        <v>1</v>
      </c>
      <c r="L311" t="str">
        <f>IF(
K311,"p["""&amp;B311&amp;"""].update({"&amp;""""&amp;C311&amp;""":{"&amp;_xlfn.CONCAT(N311:T311)&amp;"}})","p.update("&amp;M311&amp;")"
)</f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>"{"&amp;""""&amp;B311
&amp;""":{"&amp;""""&amp;C311&amp;""":{"&amp;_xlfn.CONCAT(N311:T311)&amp;"}}}"</f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27"/>
        <v>"type":"string",</v>
      </c>
      <c r="O311" t="str">
        <f t="shared" si="28"/>
        <v>"subtype":"string",</v>
      </c>
      <c r="P311" t="str">
        <f t="shared" si="29"/>
        <v>"indent":5,</v>
      </c>
      <c r="Q311" t="str">
        <f t="shared" si="33"/>
        <v>"default_value":"",</v>
      </c>
      <c r="R311" t="str">
        <f t="shared" si="30"/>
        <v>"docs_url":"https://looker.com/docs/r/lookml/types/option/name?version=7.14&amp;lookml=new",</v>
      </c>
      <c r="S311" t="str">
        <f t="shared" si="31"/>
        <v>"has_allowed_values":False,</v>
      </c>
      <c r="T311" t="str">
        <f t="shared" si="32"/>
        <v>"allowed_values":""</v>
      </c>
    </row>
    <row r="312" spans="1:20" ht="13" x14ac:dyDescent="0.15">
      <c r="A312" s="7">
        <v>350</v>
      </c>
      <c r="B312" s="6" t="s">
        <v>23</v>
      </c>
      <c r="C312" s="6" t="s">
        <v>129</v>
      </c>
      <c r="D312" s="4" t="s">
        <v>29</v>
      </c>
      <c r="E312" s="4" t="s">
        <v>0</v>
      </c>
      <c r="F312" s="4">
        <v>5</v>
      </c>
      <c r="G312" s="4" t="s">
        <v>592</v>
      </c>
      <c r="H312" s="4" t="s">
        <v>447</v>
      </c>
      <c r="I312" s="4" t="b">
        <v>0</v>
      </c>
      <c r="K312" s="4" t="b">
        <f>IF(COUNTIF($B$2:$B312,B312)&gt;1,TRUE,FALSE)</f>
        <v>1</v>
      </c>
      <c r="L312" t="str">
        <f>IF(
K312,"p["""&amp;B312&amp;"""].update({"&amp;""""&amp;C312&amp;""":{"&amp;_xlfn.CONCAT(N312:T312)&amp;"}})","p.update("&amp;M312&amp;")"
)</f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>"{"&amp;""""&amp;B312
&amp;""":{"&amp;""""&amp;C312&amp;""":{"&amp;_xlfn.CONCAT(N312:T312)&amp;"}}}"</f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27"/>
        <v>"type":"string",</v>
      </c>
      <c r="O312" t="str">
        <f t="shared" si="28"/>
        <v>"subtype":"possibly-localized-string",</v>
      </c>
      <c r="P312" t="str">
        <f t="shared" si="29"/>
        <v>"indent":5,</v>
      </c>
      <c r="Q312" t="str">
        <f t="shared" si="33"/>
        <v>"default_value":"",</v>
      </c>
      <c r="R312" t="str">
        <f t="shared" si="30"/>
        <v>"docs_url":"https://looker.com/docs/r/lookml/types/option/label?version=7.14&amp;lookml=new",</v>
      </c>
      <c r="S312" t="str">
        <f t="shared" si="31"/>
        <v>"has_allowed_values":False,</v>
      </c>
      <c r="T312" t="str">
        <f t="shared" si="32"/>
        <v>"allowed_values":""</v>
      </c>
    </row>
    <row r="313" spans="1:20" ht="13" x14ac:dyDescent="0.15">
      <c r="A313" s="7">
        <v>353</v>
      </c>
      <c r="B313" s="6" t="s">
        <v>518</v>
      </c>
      <c r="C313" s="3" t="s">
        <v>7</v>
      </c>
      <c r="D313" s="4" t="s">
        <v>541</v>
      </c>
      <c r="E313" s="4" t="s">
        <v>541</v>
      </c>
      <c r="F313" s="4">
        <v>4</v>
      </c>
      <c r="H313" s="4" t="s">
        <v>448</v>
      </c>
      <c r="I313" s="4" t="b">
        <v>0</v>
      </c>
      <c r="K313" s="4" t="b">
        <f>IF(COUNTIF($B$2:$B313,B313)&gt;1,TRUE,FALSE)</f>
        <v>0</v>
      </c>
      <c r="L313" t="str">
        <f>IF(
K313,"p["""&amp;B313&amp;"""].update({"&amp;""""&amp;C313&amp;""":{"&amp;_xlfn.CONCAT(N313:T313)&amp;"}})","p.update("&amp;M313&amp;")"
)</f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>"{"&amp;""""&amp;B313
&amp;""":{"&amp;""""&amp;C313&amp;""":{"&amp;_xlfn.CONCAT(N313:T313)&amp;"}}}"</f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27"/>
        <v>"type":"anonymous_construct_plural",</v>
      </c>
      <c r="O313" t="str">
        <f t="shared" si="28"/>
        <v>"subtype":"anonymous_construct_plural",</v>
      </c>
      <c r="P313" t="str">
        <f t="shared" si="29"/>
        <v>"indent":4,</v>
      </c>
      <c r="Q313" t="str">
        <f t="shared" si="33"/>
        <v>"default_value":"",</v>
      </c>
      <c r="R313" t="str">
        <f t="shared" si="30"/>
        <v>"docs_url":"https://looker.com/docs/r/lookml/types/case/when?version=7.14&amp;lookml=new",</v>
      </c>
      <c r="S313" t="str">
        <f t="shared" si="31"/>
        <v>"has_allowed_values":False,</v>
      </c>
      <c r="T313" t="str">
        <f t="shared" si="32"/>
        <v>"allowed_values":""</v>
      </c>
    </row>
    <row r="314" spans="1:20" ht="13" x14ac:dyDescent="0.15">
      <c r="A314" s="7">
        <v>354</v>
      </c>
      <c r="B314" s="6" t="s">
        <v>519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592</v>
      </c>
      <c r="H314" s="4" t="s">
        <v>449</v>
      </c>
      <c r="I314" s="4" t="b">
        <v>0</v>
      </c>
      <c r="K314" s="4" t="b">
        <f>IF(COUNTIF($B$2:$B314,B314)&gt;1,TRUE,FALSE)</f>
        <v>0</v>
      </c>
      <c r="L314" t="str">
        <f>IF(
K314,"p["""&amp;B314&amp;"""].update({"&amp;""""&amp;C314&amp;""":{"&amp;_xlfn.CONCAT(N314:T314)&amp;"}})","p.update("&amp;M314&amp;")"
)</f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>"{"&amp;""""&amp;B314
&amp;""":{"&amp;""""&amp;C314&amp;""":{"&amp;_xlfn.CONCAT(N314:T314)&amp;"}}}"</f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27"/>
        <v>"type":"string",</v>
      </c>
      <c r="O314" t="str">
        <f t="shared" si="28"/>
        <v>"subtype":"string",</v>
      </c>
      <c r="P314" t="str">
        <f t="shared" si="29"/>
        <v>"indent":4,</v>
      </c>
      <c r="Q314" t="str">
        <f t="shared" si="33"/>
        <v>"default_value":"",</v>
      </c>
      <c r="R314" t="str">
        <f t="shared" si="30"/>
        <v>"docs_url":"https://looker.com/docs/r/lookml/types/case/else?version=7.14&amp;lookml=new",</v>
      </c>
      <c r="S314" t="str">
        <f t="shared" si="31"/>
        <v>"has_allowed_values":False,</v>
      </c>
      <c r="T314" t="str">
        <f t="shared" si="32"/>
        <v>"allowed_values":""</v>
      </c>
    </row>
    <row r="315" spans="1:20" ht="13" x14ac:dyDescent="0.15">
      <c r="A315" s="7">
        <v>357</v>
      </c>
      <c r="B315" s="6" t="s">
        <v>520</v>
      </c>
      <c r="C315" s="3" t="s">
        <v>130</v>
      </c>
      <c r="D315" s="4" t="s">
        <v>17</v>
      </c>
      <c r="E315" s="1" t="s">
        <v>599</v>
      </c>
      <c r="F315" s="4">
        <v>5</v>
      </c>
      <c r="H315" s="4" t="s">
        <v>450</v>
      </c>
      <c r="I315" s="4" t="b">
        <v>0</v>
      </c>
      <c r="K315" s="4" t="b">
        <f>IF(COUNTIF($B$2:$B315,B315)&gt;1,TRUE,FALSE)</f>
        <v>0</v>
      </c>
      <c r="L315" t="str">
        <f>IF(
K315,"p["""&amp;B315&amp;"""].update({"&amp;""""&amp;C315&amp;""":{"&amp;_xlfn.CONCAT(N315:T315)&amp;"}})","p.update("&amp;M315&amp;")"
)</f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>"{"&amp;""""&amp;B315
&amp;""":{"&amp;""""&amp;C315&amp;""":{"&amp;_xlfn.CONCAT(N315:T315)&amp;"}}}"</f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27"/>
        <v>"type":"string_unquoted",</v>
      </c>
      <c r="O315" t="str">
        <f t="shared" si="28"/>
        <v>"subtype":"field-ref",</v>
      </c>
      <c r="P315" t="str">
        <f t="shared" si="29"/>
        <v>"indent":5,</v>
      </c>
      <c r="Q315" t="str">
        <f t="shared" si="33"/>
        <v>"default_value":"",</v>
      </c>
      <c r="R315" t="str">
        <f t="shared" si="30"/>
        <v>"docs_url":"https://looker.com/docs/r/lookml/types/column/field?version=7.14&amp;lookml=new",</v>
      </c>
      <c r="S315" t="str">
        <f t="shared" si="31"/>
        <v>"has_allowed_values":False,</v>
      </c>
      <c r="T315" t="str">
        <f t="shared" si="32"/>
        <v>"allowed_values":""</v>
      </c>
    </row>
    <row r="316" spans="1:20" ht="13" x14ac:dyDescent="0.15">
      <c r="A316" s="7">
        <v>360</v>
      </c>
      <c r="B316" s="6" t="s">
        <v>34</v>
      </c>
      <c r="C316" s="3" t="s">
        <v>131</v>
      </c>
      <c r="D316" s="4" t="s">
        <v>613</v>
      </c>
      <c r="E316" s="4" t="s">
        <v>34</v>
      </c>
      <c r="F316" s="4">
        <v>5</v>
      </c>
      <c r="G316" s="4" t="s">
        <v>592</v>
      </c>
      <c r="H316" s="4" t="s">
        <v>451</v>
      </c>
      <c r="I316" s="4" t="b">
        <v>0</v>
      </c>
      <c r="K316" s="4" t="b">
        <f>IF(COUNTIF($B$2:$B316,B316)&gt;1,TRUE,FALSE)</f>
        <v>1</v>
      </c>
      <c r="L316" t="str">
        <f>IF(
K316,"p["""&amp;B316&amp;"""].update({"&amp;""""&amp;C316&amp;""":{"&amp;_xlfn.CONCAT(N316:T316)&amp;"}})","p.update("&amp;M316&amp;")"
)</f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>"{"&amp;""""&amp;B316
&amp;""":{"&amp;""""&amp;C316&amp;""":{"&amp;_xlfn.CONCAT(N316:T316)&amp;"}}}"</f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27"/>
        <v>"type":"sql",</v>
      </c>
      <c r="O316" t="str">
        <f t="shared" si="28"/>
        <v>"subtype":"sql-block ",</v>
      </c>
      <c r="P316" t="str">
        <f t="shared" si="29"/>
        <v>"indent":5,</v>
      </c>
      <c r="Q316" t="str">
        <f t="shared" si="33"/>
        <v>"default_value":"",</v>
      </c>
      <c r="R316" t="str">
        <f t="shared" si="30"/>
        <v>"docs_url":"https://looker.com/docs/r/lookml/types/derived_column/sql?version=7.14&amp;lookml=new",</v>
      </c>
      <c r="S316" t="str">
        <f t="shared" si="31"/>
        <v>"has_allowed_values":False,</v>
      </c>
      <c r="T316" t="str">
        <f t="shared" si="32"/>
        <v>"allowed_values":""</v>
      </c>
    </row>
    <row r="317" spans="1:20" ht="13" x14ac:dyDescent="0.15">
      <c r="A317" s="7">
        <v>363</v>
      </c>
      <c r="B317" s="6" t="s">
        <v>521</v>
      </c>
      <c r="C317" s="3" t="s">
        <v>132</v>
      </c>
      <c r="D317" s="4" t="s">
        <v>17</v>
      </c>
      <c r="E317" s="1" t="s">
        <v>599</v>
      </c>
      <c r="F317" s="4">
        <v>4</v>
      </c>
      <c r="H317" s="4" t="s">
        <v>452</v>
      </c>
      <c r="I317" s="4" t="b">
        <v>0</v>
      </c>
      <c r="K317" s="4" t="b">
        <f>IF(COUNTIF($B$2:$B317,B317)&gt;1,TRUE,FALSE)</f>
        <v>0</v>
      </c>
      <c r="L317" t="str">
        <f>IF(
K317,"p["""&amp;B317&amp;"""].update({"&amp;""""&amp;C317&amp;""":{"&amp;_xlfn.CONCAT(N317:T317)&amp;"}})","p.update("&amp;M317&amp;")"
)</f>
        <v>p.update({"from_field":{"bind_filters":{"type":"string_unquoted","subtype":"field-ref","indent":4,"default_value":"","docs_url":"https://looker.com/docs/r/lookml/types/bind_filters/from_field?version=7.14&amp;lookml=new","has_allowed_values":False,"allowed_values":""}}})</v>
      </c>
      <c r="M317" t="str">
        <f>"{"&amp;""""&amp;B317
&amp;""":{"&amp;""""&amp;C317&amp;""":{"&amp;_xlfn.CONCAT(N317:T317)&amp;"}}}"</f>
        <v>{"from_field":{"bind_filters":{"type":"string_unquoted","subtype":"field-ref","indent":4,"default_value":"","docs_url":"https://looker.com/docs/r/lookml/types/bind_filters/from_field?version=7.14&amp;lookml=new","has_allowed_values":False,"allowed_values":""}}}</v>
      </c>
      <c r="N317" t="str">
        <f t="shared" si="27"/>
        <v>"type":"string_unquoted",</v>
      </c>
      <c r="O317" t="str">
        <f t="shared" si="28"/>
        <v>"subtype":"field-ref",</v>
      </c>
      <c r="P317" t="str">
        <f t="shared" si="29"/>
        <v>"indent":4,</v>
      </c>
      <c r="Q317" t="str">
        <f t="shared" si="33"/>
        <v>"default_value":"",</v>
      </c>
      <c r="R317" t="str">
        <f t="shared" si="30"/>
        <v>"docs_url":"https://looker.com/docs/r/lookml/types/bind_filters/from_field?version=7.14&amp;lookml=new",</v>
      </c>
      <c r="S317" t="str">
        <f t="shared" si="31"/>
        <v>"has_allowed_values":False,</v>
      </c>
      <c r="T317" t="str">
        <f t="shared" si="32"/>
        <v>"allowed_values":""</v>
      </c>
    </row>
    <row r="318" spans="1:20" ht="13" x14ac:dyDescent="0.15">
      <c r="A318" s="7">
        <v>364</v>
      </c>
      <c r="B318" s="6" t="s">
        <v>522</v>
      </c>
      <c r="C318" s="3" t="s">
        <v>132</v>
      </c>
      <c r="D318" s="4" t="s">
        <v>17</v>
      </c>
      <c r="E318" s="1" t="s">
        <v>599</v>
      </c>
      <c r="F318" s="4">
        <v>4</v>
      </c>
      <c r="H318" s="4" t="s">
        <v>453</v>
      </c>
      <c r="I318" s="4" t="b">
        <v>0</v>
      </c>
      <c r="K318" s="4" t="b">
        <f>IF(COUNTIF($B$2:$B318,B318)&gt;1,TRUE,FALSE)</f>
        <v>0</v>
      </c>
      <c r="L318" t="str">
        <f>IF(
K318,"p["""&amp;B318&amp;"""].update({"&amp;""""&amp;C318&amp;""":{"&amp;_xlfn.CONCAT(N318:T318)&amp;"}})","p.update("&amp;M318&amp;")"
)</f>
        <v>p.update({"to_field":{"bind_filters":{"type":"string_unquoted","subtype":"field-ref","indent":4,"default_value":"","docs_url":"https://looker.com/docs/r/lookml/types/bind_filters/to_field?version=7.14&amp;lookml=new","has_allowed_values":False,"allowed_values":""}}})</v>
      </c>
      <c r="M318" t="str">
        <f>"{"&amp;""""&amp;B318
&amp;""":{"&amp;""""&amp;C318&amp;""":{"&amp;_xlfn.CONCAT(N318:T318)&amp;"}}}"</f>
        <v>{"to_field":{"bind_filters":{"type":"string_unquoted","subtype":"field-ref","indent":4,"default_value":"","docs_url":"https://looker.com/docs/r/lookml/types/bind_filters/to_field?version=7.14&amp;lookml=new","has_allowed_values":False,"allowed_values":""}}}</v>
      </c>
      <c r="N318" t="str">
        <f t="shared" si="27"/>
        <v>"type":"string_unquoted",</v>
      </c>
      <c r="O318" t="str">
        <f t="shared" si="28"/>
        <v>"subtype":"field-ref",</v>
      </c>
      <c r="P318" t="str">
        <f t="shared" si="29"/>
        <v>"indent":4,</v>
      </c>
      <c r="Q318" t="str">
        <f t="shared" si="33"/>
        <v>"default_value":"",</v>
      </c>
      <c r="R318" t="str">
        <f t="shared" si="30"/>
        <v>"docs_url":"https://looker.com/docs/r/lookml/types/bind_filters/to_field?version=7.14&amp;lookml=new",</v>
      </c>
      <c r="S318" t="str">
        <f t="shared" si="31"/>
        <v>"has_allowed_values":False,</v>
      </c>
      <c r="T318" t="str">
        <f t="shared" si="32"/>
        <v>"allowed_values":""</v>
      </c>
    </row>
    <row r="319" spans="1:20" ht="13" x14ac:dyDescent="0.15">
      <c r="A319" s="7">
        <v>367</v>
      </c>
      <c r="B319" s="6" t="s">
        <v>523</v>
      </c>
      <c r="C319" s="3" t="s">
        <v>133</v>
      </c>
      <c r="D319" s="4" t="s">
        <v>0</v>
      </c>
      <c r="E319" s="4" t="s">
        <v>0</v>
      </c>
      <c r="F319" s="4">
        <v>1</v>
      </c>
      <c r="G319" s="4" t="s">
        <v>592</v>
      </c>
      <c r="H319" s="10" t="s">
        <v>454</v>
      </c>
      <c r="I319" s="4" t="b">
        <v>0</v>
      </c>
      <c r="K319" s="4" t="b">
        <f>IF(COUNTIF($B$2:$B319,B319)&gt;1,TRUE,FALSE)</f>
        <v>0</v>
      </c>
      <c r="L319" t="str">
        <f>IF(
K319,"p["""&amp;B319&amp;"""].update({"&amp;""""&amp;C319&amp;""":{"&amp;_xlfn.CONCAT(N319:T319)&amp;"}})","p.update("&amp;M319&amp;")"
)</f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>"{"&amp;""""&amp;B319
&amp;""":{"&amp;""""&amp;C319&amp;""":{"&amp;_xlfn.CONCAT(N319:T319)&amp;"}}}"</f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27"/>
        <v>"type":"string",</v>
      </c>
      <c r="O319" t="str">
        <f t="shared" si="28"/>
        <v>"subtype":"string",</v>
      </c>
      <c r="P319" t="str">
        <f t="shared" si="29"/>
        <v>"indent":1,</v>
      </c>
      <c r="Q319" t="str">
        <f t="shared" si="33"/>
        <v>"default_value":"",</v>
      </c>
      <c r="R319" t="str">
        <f t="shared" si="30"/>
        <v>"docs_url":"https://looker.com/docs/r/lookml/types/map_layer/extents_json_url?version=7.14&amp;lookml=new",</v>
      </c>
      <c r="S319" t="str">
        <f t="shared" si="31"/>
        <v>"has_allowed_values":False,</v>
      </c>
      <c r="T319" t="str">
        <f t="shared" si="32"/>
        <v>"allowed_values":""</v>
      </c>
    </row>
    <row r="320" spans="1:20" ht="13" x14ac:dyDescent="0.15">
      <c r="A320" s="7">
        <v>368</v>
      </c>
      <c r="B320" s="6" t="s">
        <v>524</v>
      </c>
      <c r="C320" s="3" t="s">
        <v>133</v>
      </c>
      <c r="D320" s="4" t="s">
        <v>0</v>
      </c>
      <c r="E320" s="4" t="s">
        <v>0</v>
      </c>
      <c r="F320" s="4">
        <v>1</v>
      </c>
      <c r="G320" s="4" t="s">
        <v>592</v>
      </c>
      <c r="H320" s="4" t="s">
        <v>455</v>
      </c>
      <c r="I320" s="4" t="b">
        <v>0</v>
      </c>
      <c r="K320" s="4" t="b">
        <f>IF(COUNTIF($B$2:$B320,B320)&gt;1,TRUE,FALSE)</f>
        <v>0</v>
      </c>
      <c r="L320" t="str">
        <f>IF(
K320,"p["""&amp;B320&amp;"""].update({"&amp;""""&amp;C320&amp;""":{"&amp;_xlfn.CONCAT(N320:T320)&amp;"}})","p.update("&amp;M320&amp;")"
)</f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>"{"&amp;""""&amp;B320
&amp;""":{"&amp;""""&amp;C320&amp;""":{"&amp;_xlfn.CONCAT(N320:T320)&amp;"}}}"</f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27"/>
        <v>"type":"string",</v>
      </c>
      <c r="O320" t="str">
        <f t="shared" si="28"/>
        <v>"subtype":"string",</v>
      </c>
      <c r="P320" t="str">
        <f t="shared" si="29"/>
        <v>"indent":1,</v>
      </c>
      <c r="Q320" t="str">
        <f t="shared" si="33"/>
        <v>"default_value":"",</v>
      </c>
      <c r="R320" t="str">
        <f t="shared" si="30"/>
        <v>"docs_url":"https://looker.com/docs/r/lookml/types/map_layer/feature_key?version=7.14&amp;lookml=new",</v>
      </c>
      <c r="S320" t="str">
        <f t="shared" si="31"/>
        <v>"has_allowed_values":False,</v>
      </c>
      <c r="T320" t="str">
        <f t="shared" si="32"/>
        <v>"allowed_values":""</v>
      </c>
    </row>
    <row r="321" spans="1:20" ht="13" x14ac:dyDescent="0.15">
      <c r="A321" s="7">
        <v>369</v>
      </c>
      <c r="B321" s="6" t="s">
        <v>496</v>
      </c>
      <c r="C321" s="3" t="s">
        <v>133</v>
      </c>
      <c r="D321" s="4" t="s">
        <v>0</v>
      </c>
      <c r="E321" s="4" t="s">
        <v>0</v>
      </c>
      <c r="F321" s="4">
        <v>1</v>
      </c>
      <c r="G321" s="4" t="s">
        <v>592</v>
      </c>
      <c r="H321" s="4" t="s">
        <v>456</v>
      </c>
      <c r="I321" s="4" t="b">
        <v>0</v>
      </c>
      <c r="K321" s="4" t="b">
        <f>IF(COUNTIF($B$2:$B321,B321)&gt;1,TRUE,FALSE)</f>
        <v>1</v>
      </c>
      <c r="L321" t="str">
        <f>IF(
K321,"p["""&amp;B321&amp;"""].update({"&amp;""""&amp;C321&amp;""":{"&amp;_xlfn.CONCAT(N321:T321)&amp;"}})","p.update("&amp;M321&amp;")"
)</f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>"{"&amp;""""&amp;B321
&amp;""":{"&amp;""""&amp;C321&amp;""":{"&amp;_xlfn.CONCAT(N321:T321)&amp;"}}}"</f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27"/>
        <v>"type":"string",</v>
      </c>
      <c r="O321" t="str">
        <f t="shared" si="28"/>
        <v>"subtype":"string",</v>
      </c>
      <c r="P321" t="str">
        <f t="shared" si="29"/>
        <v>"indent":1,</v>
      </c>
      <c r="Q321" t="str">
        <f t="shared" si="33"/>
        <v>"default_value":"",</v>
      </c>
      <c r="R321" t="str">
        <f t="shared" si="30"/>
        <v>"docs_url":"https://looker.com/docs/r/lookml/types/map_layer/file?version=7.14&amp;lookml=new",</v>
      </c>
      <c r="S321" t="str">
        <f t="shared" si="31"/>
        <v>"has_allowed_values":False,</v>
      </c>
      <c r="T321" t="str">
        <f t="shared" si="32"/>
        <v>"allowed_values":""</v>
      </c>
    </row>
    <row r="322" spans="1:20" ht="13" x14ac:dyDescent="0.15">
      <c r="A322" s="7">
        <v>370</v>
      </c>
      <c r="B322" s="6" t="s">
        <v>525</v>
      </c>
      <c r="C322" s="3" t="s">
        <v>133</v>
      </c>
      <c r="D322" s="4" t="s">
        <v>551</v>
      </c>
      <c r="E322" s="4" t="s">
        <v>551</v>
      </c>
      <c r="F322" s="4">
        <v>1</v>
      </c>
      <c r="G322" s="4" t="s">
        <v>556</v>
      </c>
      <c r="H322" s="4" t="s">
        <v>457</v>
      </c>
      <c r="I322" s="4" t="b">
        <v>1</v>
      </c>
      <c r="J322" s="4" t="s">
        <v>554</v>
      </c>
      <c r="K322" s="4" t="b">
        <f>IF(COUNTIF($B$2:$B322,B322)&gt;1,TRUE,FALSE)</f>
        <v>0</v>
      </c>
      <c r="L322" t="str">
        <f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27"/>
        <v>"type":"options",</v>
      </c>
      <c r="O322" t="str">
        <f t="shared" si="28"/>
        <v>"subtype":"options",</v>
      </c>
      <c r="P322" t="str">
        <f t="shared" si="29"/>
        <v>"indent":1,</v>
      </c>
      <c r="Q322" t="str">
        <f t="shared" si="33"/>
        <v>"default_value":"topojson",</v>
      </c>
      <c r="R322" t="str">
        <f t="shared" si="30"/>
        <v>"docs_url":"https://looker.com/docs/r/lookml/types/map_layer/format?version=7.14&amp;lookml=new",</v>
      </c>
      <c r="S322" t="str">
        <f t="shared" si="31"/>
        <v>"has_allowed_values":True,</v>
      </c>
      <c r="T322" t="str">
        <f t="shared" si="32"/>
        <v>"allowed_values":["topojson", "vector_tile_region"]</v>
      </c>
    </row>
    <row r="323" spans="1:20" ht="13" x14ac:dyDescent="0.15">
      <c r="A323" s="7">
        <v>371</v>
      </c>
      <c r="B323" s="6" t="s">
        <v>23</v>
      </c>
      <c r="C323" s="3" t="s">
        <v>133</v>
      </c>
      <c r="D323" s="4" t="s">
        <v>0</v>
      </c>
      <c r="E323" s="4" t="s">
        <v>0</v>
      </c>
      <c r="F323" s="4">
        <v>1</v>
      </c>
      <c r="G323" s="4" t="s">
        <v>592</v>
      </c>
      <c r="H323" s="4" t="s">
        <v>458</v>
      </c>
      <c r="I323" s="4" t="b">
        <v>0</v>
      </c>
      <c r="K323" s="4" t="b">
        <f>IF(COUNTIF($B$2:$B323,B323)&gt;1,TRUE,FALSE)</f>
        <v>1</v>
      </c>
      <c r="L323" t="str">
        <f>IF(
K323,"p["""&amp;B323&amp;"""].update({"&amp;""""&amp;C323&amp;""":{"&amp;_xlfn.CONCAT(N323:T323)&amp;"}})","p.update("&amp;M323&amp;")"
)</f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>"{"&amp;""""&amp;B323
&amp;""":{"&amp;""""&amp;C323&amp;""":{"&amp;_xlfn.CONCAT(N323:T323)&amp;"}}}"</f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O348" si="34">"""type"":"&amp;""""&amp;E323&amp;""","</f>
        <v>"type":"string",</v>
      </c>
      <c r="O323" t="str">
        <f t="shared" ref="O323:O347" si="35">"""subtype"":"&amp;""""&amp;D323&amp;""","</f>
        <v>"subtype":"string",</v>
      </c>
      <c r="P323" t="str">
        <f t="shared" ref="P323:P353" si="36">"""indent"":"&amp;F323&amp;","</f>
        <v>"indent":1,</v>
      </c>
      <c r="Q323" t="str">
        <f t="shared" si="33"/>
        <v>"default_value":"",</v>
      </c>
      <c r="R323" t="str">
        <f t="shared" ref="R323:R349" si="37">"""docs_url"":"&amp;""""&amp;H323&amp;""","</f>
        <v>"docs_url":"https://looker.com/docs/r/lookml/types/map_layer/label?version=7.14&amp;lookml=new",</v>
      </c>
      <c r="S323" t="str">
        <f t="shared" ref="S323:S349" si="38">"""has_allowed_values"":"&amp;IF(I323,"True,","False"&amp;",")</f>
        <v>"has_allowed_values":False,</v>
      </c>
      <c r="T323" t="str">
        <f t="shared" ref="T323:T353" si="39">"""allowed_values"":"&amp;IF(J323&lt;&gt;"",J323,"""""")</f>
        <v>"allowed_values":""</v>
      </c>
    </row>
    <row r="324" spans="1:20" ht="13" x14ac:dyDescent="0.15">
      <c r="A324" s="7">
        <v>372</v>
      </c>
      <c r="B324" s="6" t="s">
        <v>526</v>
      </c>
      <c r="C324" s="3" t="s">
        <v>133</v>
      </c>
      <c r="D324" s="4" t="s">
        <v>62</v>
      </c>
      <c r="E324" s="4" t="s">
        <v>599</v>
      </c>
      <c r="F324" s="4">
        <v>1</v>
      </c>
      <c r="G324" s="4">
        <v>12</v>
      </c>
      <c r="H324" s="4" t="s">
        <v>459</v>
      </c>
      <c r="I324" s="4" t="b">
        <v>0</v>
      </c>
      <c r="K324" s="4" t="b">
        <f>IF(COUNTIF($B$2:$B324,B324)&gt;1,TRUE,FALSE)</f>
        <v>0</v>
      </c>
      <c r="L324" t="str">
        <f>IF(
K324,"p["""&amp;B324&amp;"""].update({"&amp;""""&amp;C324&amp;""":{"&amp;_xlfn.CONCAT(N324:T324)&amp;"}})","p.update("&amp;M324&amp;")"
)</f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>"{"&amp;""""&amp;B324
&amp;""":{"&amp;""""&amp;C324&amp;""":{"&amp;_xlfn.CONCAT(N324:T324)&amp;"}}}"</f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34"/>
        <v>"type":"string_unquoted",</v>
      </c>
      <c r="O324" t="str">
        <f t="shared" si="35"/>
        <v>"subtype":"number",</v>
      </c>
      <c r="P324" t="str">
        <f t="shared" si="36"/>
        <v>"indent":1,</v>
      </c>
      <c r="Q324" t="str">
        <f t="shared" si="33"/>
        <v>"default_value":"12",</v>
      </c>
      <c r="R324" t="str">
        <f t="shared" si="37"/>
        <v>"docs_url":"https://looker.com/docs/r/lookml/types/map_layer/max_zoom_level?version=7.14&amp;lookml=new",</v>
      </c>
      <c r="S324" t="str">
        <f t="shared" si="38"/>
        <v>"has_allowed_values":False,</v>
      </c>
      <c r="T324" t="str">
        <f t="shared" si="39"/>
        <v>"allowed_values":""</v>
      </c>
    </row>
    <row r="325" spans="1:20" ht="13" x14ac:dyDescent="0.15">
      <c r="A325" s="7">
        <v>373</v>
      </c>
      <c r="B325" s="6" t="s">
        <v>527</v>
      </c>
      <c r="C325" s="3" t="s">
        <v>133</v>
      </c>
      <c r="D325" s="4" t="s">
        <v>62</v>
      </c>
      <c r="E325" s="4" t="s">
        <v>599</v>
      </c>
      <c r="F325" s="4">
        <v>1</v>
      </c>
      <c r="G325" s="4">
        <v>2</v>
      </c>
      <c r="H325" s="4" t="s">
        <v>460</v>
      </c>
      <c r="I325" s="4" t="b">
        <v>0</v>
      </c>
      <c r="K325" s="4" t="b">
        <f>IF(COUNTIF($B$2:$B325,B325)&gt;1,TRUE,FALSE)</f>
        <v>0</v>
      </c>
      <c r="L325" t="str">
        <f>IF(
K325,"p["""&amp;B325&amp;"""].update({"&amp;""""&amp;C325&amp;""":{"&amp;_xlfn.CONCAT(N325:T325)&amp;"}})","p.update("&amp;M325&amp;")"
)</f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>"{"&amp;""""&amp;B325
&amp;""":{"&amp;""""&amp;C325&amp;""":{"&amp;_xlfn.CONCAT(N325:T325)&amp;"}}}"</f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34"/>
        <v>"type":"string_unquoted",</v>
      </c>
      <c r="O325" t="str">
        <f t="shared" si="35"/>
        <v>"subtype":"number",</v>
      </c>
      <c r="P325" t="str">
        <f t="shared" si="36"/>
        <v>"indent":1,</v>
      </c>
      <c r="Q325" t="str">
        <f t="shared" si="33"/>
        <v>"default_value":"2",</v>
      </c>
      <c r="R325" t="str">
        <f t="shared" si="37"/>
        <v>"docs_url":"https://looker.com/docs/r/lookml/types/map_layer/min_zoom_level?version=7.14&amp;lookml=new",</v>
      </c>
      <c r="S325" t="str">
        <f t="shared" si="38"/>
        <v>"has_allowed_values":False,</v>
      </c>
      <c r="T325" t="str">
        <f t="shared" si="39"/>
        <v>"allowed_values":""</v>
      </c>
    </row>
    <row r="326" spans="1:20" ht="13" x14ac:dyDescent="0.15">
      <c r="A326" s="7">
        <v>374</v>
      </c>
      <c r="B326" s="6" t="s">
        <v>528</v>
      </c>
      <c r="C326" s="3" t="s">
        <v>133</v>
      </c>
      <c r="D326" s="4" t="s">
        <v>551</v>
      </c>
      <c r="E326" s="4" t="s">
        <v>551</v>
      </c>
      <c r="F326" s="4">
        <v>1</v>
      </c>
      <c r="G326" s="4" t="s">
        <v>552</v>
      </c>
      <c r="H326" s="4" t="s">
        <v>461</v>
      </c>
      <c r="I326" s="4" t="b">
        <v>1</v>
      </c>
      <c r="J326" s="4" t="s">
        <v>553</v>
      </c>
      <c r="K326" s="4" t="b">
        <f>IF(COUNTIF($B$2:$B326,B326)&gt;1,TRUE,FALSE)</f>
        <v>0</v>
      </c>
      <c r="L326" t="str">
        <f>IF(
K326,"p["""&amp;B326&amp;"""].update({"&amp;""""&amp;C326&amp;""":{"&amp;_xlfn.CONCAT(N326:T326)&amp;"}})","p.update("&amp;M326&amp;")"
)</f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>"{"&amp;""""&amp;B326
&amp;""":{"&amp;""""&amp;C326&amp;""":{"&amp;_xlfn.CONCAT(N326:T326)&amp;"}}}"</f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34"/>
        <v>"type":"options",</v>
      </c>
      <c r="O326" t="str">
        <f t="shared" si="35"/>
        <v>"subtype":"options",</v>
      </c>
      <c r="P326" t="str">
        <f t="shared" si="36"/>
        <v>"indent":1,</v>
      </c>
      <c r="Q326" t="str">
        <f t="shared" si="33"/>
        <v>"default_value":"airy",</v>
      </c>
      <c r="R326" t="str">
        <f t="shared" si="37"/>
        <v>"docs_url":"https://looker.com/docs/r/lookml/types/map_layer/projection?version=7.14&amp;lookml=new",</v>
      </c>
      <c r="S326" t="str">
        <f t="shared" si="38"/>
        <v>"has_allowed_values":True,</v>
      </c>
      <c r="T326" t="str">
        <f t="shared" si="39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x14ac:dyDescent="0.15">
      <c r="A327" s="7">
        <v>375</v>
      </c>
      <c r="B327" s="6" t="s">
        <v>529</v>
      </c>
      <c r="C327" s="3" t="s">
        <v>133</v>
      </c>
      <c r="D327" s="4" t="s">
        <v>0</v>
      </c>
      <c r="E327" s="4" t="s">
        <v>0</v>
      </c>
      <c r="F327" s="4">
        <v>1</v>
      </c>
      <c r="G327" s="4" t="s">
        <v>592</v>
      </c>
      <c r="H327" s="4" t="s">
        <v>462</v>
      </c>
      <c r="I327" s="4" t="b">
        <v>0</v>
      </c>
      <c r="K327" s="4" t="b">
        <f>IF(COUNTIF($B$2:$B327,B327)&gt;1,TRUE,FALSE)</f>
        <v>0</v>
      </c>
      <c r="L327" t="str">
        <f>IF(
K327,"p["""&amp;B327&amp;"""].update({"&amp;""""&amp;C327&amp;""":{"&amp;_xlfn.CONCAT(N327:T327)&amp;"}})","p.update("&amp;M327&amp;")"
)</f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>"{"&amp;""""&amp;B327
&amp;""":{"&amp;""""&amp;C327&amp;""":{"&amp;_xlfn.CONCAT(N327:T327)&amp;"}}}"</f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34"/>
        <v>"type":"string",</v>
      </c>
      <c r="O327" t="str">
        <f t="shared" si="35"/>
        <v>"subtype":"string",</v>
      </c>
      <c r="P327" t="str">
        <f t="shared" si="36"/>
        <v>"indent":1,</v>
      </c>
      <c r="Q327" t="str">
        <f t="shared" si="33"/>
        <v>"default_value":"",</v>
      </c>
      <c r="R327" t="str">
        <f t="shared" si="37"/>
        <v>"docs_url":"https://looker.com/docs/r/lookml/types/map_layer/property_key?version=7.14&amp;lookml=new",</v>
      </c>
      <c r="S327" t="str">
        <f t="shared" si="38"/>
        <v>"has_allowed_values":False,</v>
      </c>
      <c r="T327" t="str">
        <f t="shared" si="39"/>
        <v>"allowed_values":""</v>
      </c>
    </row>
    <row r="328" spans="1:20" ht="13" x14ac:dyDescent="0.15">
      <c r="A328" s="7">
        <v>376</v>
      </c>
      <c r="B328" s="6" t="s">
        <v>530</v>
      </c>
      <c r="C328" s="3" t="s">
        <v>133</v>
      </c>
      <c r="D328" s="4" t="s">
        <v>0</v>
      </c>
      <c r="E328" s="4" t="s">
        <v>0</v>
      </c>
      <c r="F328" s="4">
        <v>1</v>
      </c>
      <c r="G328" s="4" t="s">
        <v>592</v>
      </c>
      <c r="H328" s="4" t="s">
        <v>463</v>
      </c>
      <c r="I328" s="4" t="b">
        <v>0</v>
      </c>
      <c r="K328" s="4" t="b">
        <f>IF(COUNTIF($B$2:$B328,B328)&gt;1,TRUE,FALSE)</f>
        <v>0</v>
      </c>
      <c r="L328" t="str">
        <f>IF(
K328,"p["""&amp;B328&amp;"""].update({"&amp;""""&amp;C328&amp;""":{"&amp;_xlfn.CONCAT(N328:T328)&amp;"}})","p.update("&amp;M328&amp;")"
)</f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>"{"&amp;""""&amp;B328
&amp;""":{"&amp;""""&amp;C328&amp;""":{"&amp;_xlfn.CONCAT(N328:T328)&amp;"}}}"</f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34"/>
        <v>"type":"string",</v>
      </c>
      <c r="O328" t="str">
        <f t="shared" si="35"/>
        <v>"subtype":"string",</v>
      </c>
      <c r="P328" t="str">
        <f t="shared" si="36"/>
        <v>"indent":1,</v>
      </c>
      <c r="Q328" t="str">
        <f t="shared" si="33"/>
        <v>"default_value":"",</v>
      </c>
      <c r="R328" t="str">
        <f t="shared" si="37"/>
        <v>"docs_url":"https://looker.com/docs/r/lookml/types/map_layer/property_label_key?version=7.14&amp;lookml=new",</v>
      </c>
      <c r="S328" t="str">
        <f t="shared" si="38"/>
        <v>"has_allowed_values":False,</v>
      </c>
      <c r="T328" t="str">
        <f t="shared" si="39"/>
        <v>"allowed_values":""</v>
      </c>
    </row>
    <row r="329" spans="1:20" ht="13" x14ac:dyDescent="0.15">
      <c r="A329" s="7">
        <v>377</v>
      </c>
      <c r="B329" s="6" t="s">
        <v>495</v>
      </c>
      <c r="C329" s="3" t="s">
        <v>133</v>
      </c>
      <c r="D329" s="4" t="s">
        <v>0</v>
      </c>
      <c r="E329" s="4" t="s">
        <v>0</v>
      </c>
      <c r="F329" s="4">
        <v>1</v>
      </c>
      <c r="G329" s="4" t="s">
        <v>592</v>
      </c>
      <c r="H329" s="4" t="s">
        <v>464</v>
      </c>
      <c r="I329" s="4" t="b">
        <v>0</v>
      </c>
      <c r="K329" s="4" t="b">
        <f>IF(COUNTIF($B$2:$B329,B329)&gt;1,TRUE,FALSE)</f>
        <v>1</v>
      </c>
      <c r="L329" t="str">
        <f>IF(
K329,"p["""&amp;B329&amp;"""].update({"&amp;""""&amp;C329&amp;""":{"&amp;_xlfn.CONCAT(N329:T329)&amp;"}})","p.update("&amp;M329&amp;")"
)</f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>"{"&amp;""""&amp;B329
&amp;""":{"&amp;""""&amp;C329&amp;""":{"&amp;_xlfn.CONCAT(N329:T329)&amp;"}}}"</f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34"/>
        <v>"type":"string",</v>
      </c>
      <c r="O329" t="str">
        <f t="shared" si="35"/>
        <v>"subtype":"string",</v>
      </c>
      <c r="P329" t="str">
        <f t="shared" si="36"/>
        <v>"indent":1,</v>
      </c>
      <c r="Q329" t="str">
        <f t="shared" si="33"/>
        <v>"default_value":"",</v>
      </c>
      <c r="R329" t="str">
        <f t="shared" si="37"/>
        <v>"docs_url":"https://looker.com/docs/r/lookml/types/map_layer/url?version=7.14&amp;lookml=new",</v>
      </c>
      <c r="S329" t="str">
        <f t="shared" si="38"/>
        <v>"has_allowed_values":False,</v>
      </c>
      <c r="T329" t="str">
        <f t="shared" si="39"/>
        <v>"allowed_values":""</v>
      </c>
    </row>
    <row r="330" spans="1:20" ht="13" x14ac:dyDescent="0.15">
      <c r="A330" s="7">
        <v>380</v>
      </c>
      <c r="B330" s="6" t="s">
        <v>73</v>
      </c>
      <c r="C330" s="3" t="s">
        <v>134</v>
      </c>
      <c r="D330" s="4" t="s">
        <v>15</v>
      </c>
      <c r="E330" s="1" t="s">
        <v>599</v>
      </c>
      <c r="F330" s="4">
        <v>1</v>
      </c>
      <c r="H330" s="10" t="s">
        <v>465</v>
      </c>
      <c r="I330" s="4" t="b">
        <v>0</v>
      </c>
      <c r="K330" s="4" t="b">
        <f>IF(COUNTIF($B$2:$B330,B330)&gt;1,TRUE,FALSE)</f>
        <v>1</v>
      </c>
      <c r="L330" t="str">
        <f>IF(
K330,"p["""&amp;B330&amp;"""].update({"&amp;""""&amp;C330&amp;""":{"&amp;_xlfn.CONCAT(N330:T330)&amp;"}})","p.update("&amp;M330&amp;")"
)</f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>"{"&amp;""""&amp;B330
&amp;""":{"&amp;""""&amp;C330&amp;""":{"&amp;_xlfn.CONCAT(N330:T330)&amp;"}}}"</f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34"/>
        <v>"type":"string_unquoted",</v>
      </c>
      <c r="O330" t="str">
        <f t="shared" si="35"/>
        <v>"subtype":"explore-ref",</v>
      </c>
      <c r="P330" t="str">
        <f t="shared" si="36"/>
        <v>"indent":1,</v>
      </c>
      <c r="Q330" t="str">
        <f t="shared" si="33"/>
        <v>"default_value":"",</v>
      </c>
      <c r="R330" t="str">
        <f t="shared" si="37"/>
        <v>"docs_url":"https://looker.com/docs/r/lookml/types/test/explore_source?version=7.14&amp;lookml=new",</v>
      </c>
      <c r="S330" t="str">
        <f t="shared" si="38"/>
        <v>"has_allowed_values":False,</v>
      </c>
      <c r="T330" t="str">
        <f t="shared" si="39"/>
        <v>"allowed_values":""</v>
      </c>
    </row>
    <row r="331" spans="1:20" ht="13" x14ac:dyDescent="0.15">
      <c r="A331" s="7">
        <v>381</v>
      </c>
      <c r="B331" s="6" t="s">
        <v>531</v>
      </c>
      <c r="C331" s="3" t="s">
        <v>134</v>
      </c>
      <c r="D331" s="4" t="s">
        <v>95</v>
      </c>
      <c r="E331" s="4" t="s">
        <v>593</v>
      </c>
      <c r="F331" s="4">
        <v>1</v>
      </c>
      <c r="H331" s="4" t="s">
        <v>466</v>
      </c>
      <c r="I331" s="4" t="b">
        <v>0</v>
      </c>
      <c r="K331" s="4" t="b">
        <f>IF(COUNTIF($B$2:$B331,B331)&gt;1,TRUE,FALSE)</f>
        <v>0</v>
      </c>
      <c r="L331" t="str">
        <f>IF(
K331,"p["""&amp;B331&amp;"""].update({"&amp;""""&amp;C331&amp;""":{"&amp;_xlfn.CONCAT(N331:T331)&amp;"}})","p.update("&amp;M331&amp;")"
)</f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>"{"&amp;""""&amp;B331
&amp;""":{"&amp;""""&amp;C331&amp;""":{"&amp;_xlfn.CONCAT(N331:T331)&amp;"}}}"</f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34"/>
        <v>"type":"named_construct",</v>
      </c>
      <c r="O331" t="str">
        <f t="shared" si="35"/>
        <v>"subtype":"identifier",</v>
      </c>
      <c r="P331" t="str">
        <f t="shared" si="36"/>
        <v>"indent":1,</v>
      </c>
      <c r="Q331" t="str">
        <f t="shared" si="33"/>
        <v>"default_value":"",</v>
      </c>
      <c r="R331" t="str">
        <f t="shared" si="37"/>
        <v>"docs_url":"https://looker.com/docs/r/lookml/types/test/assert?version=7.14&amp;lookml=new",</v>
      </c>
      <c r="S331" t="str">
        <f t="shared" si="38"/>
        <v>"has_allowed_values":False,</v>
      </c>
      <c r="T331" t="str">
        <f t="shared" si="39"/>
        <v>"allowed_values":""</v>
      </c>
    </row>
    <row r="332" spans="1:20" ht="13" x14ac:dyDescent="0.15">
      <c r="A332" s="7">
        <v>384</v>
      </c>
      <c r="B332" s="6" t="s">
        <v>532</v>
      </c>
      <c r="C332" s="3" t="s">
        <v>135</v>
      </c>
      <c r="D332" s="4" t="s">
        <v>0</v>
      </c>
      <c r="E332" s="4" t="s">
        <v>0</v>
      </c>
      <c r="F332" s="4">
        <v>1</v>
      </c>
      <c r="G332" s="4" t="s">
        <v>592</v>
      </c>
      <c r="H332" s="4" t="s">
        <v>467</v>
      </c>
      <c r="I332" s="4" t="b">
        <v>0</v>
      </c>
      <c r="K332" s="4" t="b">
        <f>IF(COUNTIF($B$2:$B332,B332)&gt;1,TRUE,FALSE)</f>
        <v>0</v>
      </c>
      <c r="L332" t="str">
        <f>IF(
K332,"p["""&amp;B332&amp;"""].update({"&amp;""""&amp;C332&amp;""":{"&amp;_xlfn.CONCAT(N332:T332)&amp;"}})","p.update("&amp;M332&amp;")"
)</f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>"{"&amp;""""&amp;B332
&amp;""":{"&amp;""""&amp;C332&amp;""":{"&amp;_xlfn.CONCAT(N332:T332)&amp;"}}}"</f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34"/>
        <v>"type":"string",</v>
      </c>
      <c r="O332" t="str">
        <f t="shared" si="35"/>
        <v>"subtype":"string",</v>
      </c>
      <c r="P332" t="str">
        <f t="shared" si="36"/>
        <v>"indent":1,</v>
      </c>
      <c r="Q332" t="str">
        <f t="shared" ref="Q332:Q349" si="40">"""default_value"":"&amp;IF(G332="""""",""""",",IF(LEFT(G332,1)="[",G332,""""&amp;G332&amp;"""")&amp;",")</f>
        <v>"default_value":"",</v>
      </c>
      <c r="R332" t="str">
        <f t="shared" si="37"/>
        <v>"docs_url":"https://looker.com/docs/r/lookml/types/datagroup/max_cache_age?version=7.14&amp;lookml=new",</v>
      </c>
      <c r="S332" t="str">
        <f t="shared" si="38"/>
        <v>"has_allowed_values":False,</v>
      </c>
      <c r="T332" t="str">
        <f t="shared" si="39"/>
        <v>"allowed_values":""</v>
      </c>
    </row>
    <row r="333" spans="1:20" ht="13" x14ac:dyDescent="0.15">
      <c r="A333" s="7">
        <v>385</v>
      </c>
      <c r="B333" s="6" t="s">
        <v>533</v>
      </c>
      <c r="C333" s="3" t="s">
        <v>135</v>
      </c>
      <c r="D333" s="4" t="s">
        <v>613</v>
      </c>
      <c r="E333" s="4" t="s">
        <v>34</v>
      </c>
      <c r="F333" s="4">
        <v>1</v>
      </c>
      <c r="G333" s="4" t="s">
        <v>592</v>
      </c>
      <c r="H333" s="4" t="s">
        <v>468</v>
      </c>
      <c r="I333" s="4" t="b">
        <v>0</v>
      </c>
      <c r="K333" s="4" t="b">
        <f>IF(COUNTIF($B$2:$B333,B333)&gt;1,TRUE,FALSE)</f>
        <v>0</v>
      </c>
      <c r="L333" t="str">
        <f>IF(
K333,"p["""&amp;B333&amp;"""].update({"&amp;""""&amp;C333&amp;""":{"&amp;_xlfn.CONCAT(N333:T333)&amp;"}})","p.update("&amp;M333&amp;")"
)</f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>"{"&amp;""""&amp;B333
&amp;""":{"&amp;""""&amp;C333&amp;""":{"&amp;_xlfn.CONCAT(N333:T333)&amp;"}}}"</f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34"/>
        <v>"type":"sql",</v>
      </c>
      <c r="O333" t="str">
        <f t="shared" si="35"/>
        <v>"subtype":"sql-block ",</v>
      </c>
      <c r="P333" t="str">
        <f t="shared" si="36"/>
        <v>"indent":1,</v>
      </c>
      <c r="Q333" t="str">
        <f t="shared" si="40"/>
        <v>"default_value":"",</v>
      </c>
      <c r="R333" t="str">
        <f t="shared" si="37"/>
        <v>"docs_url":"https://looker.com/docs/r/lookml/types/datagroup/sql_trigger?version=7.14&amp;lookml=new",</v>
      </c>
      <c r="S333" t="str">
        <f t="shared" si="38"/>
        <v>"has_allowed_values":False,</v>
      </c>
      <c r="T333" t="str">
        <f t="shared" si="39"/>
        <v>"allowed_values":""</v>
      </c>
    </row>
    <row r="334" spans="1:20" ht="13" x14ac:dyDescent="0.15">
      <c r="A334" s="7">
        <v>386</v>
      </c>
      <c r="B334" s="6" t="s">
        <v>23</v>
      </c>
      <c r="C334" s="3" t="s">
        <v>135</v>
      </c>
      <c r="D334" s="4" t="s">
        <v>29</v>
      </c>
      <c r="E334" s="4" t="s">
        <v>0</v>
      </c>
      <c r="F334" s="4">
        <v>1</v>
      </c>
      <c r="G334" s="4" t="s">
        <v>592</v>
      </c>
      <c r="H334" s="4" t="s">
        <v>469</v>
      </c>
      <c r="I334" s="4" t="b">
        <v>0</v>
      </c>
      <c r="K334" s="4" t="b">
        <f>IF(COUNTIF($B$2:$B334,B334)&gt;1,TRUE,FALSE)</f>
        <v>1</v>
      </c>
      <c r="L334" t="str">
        <f>IF(
K334,"p["""&amp;B334&amp;"""].update({"&amp;""""&amp;C334&amp;""":{"&amp;_xlfn.CONCAT(N334:T334)&amp;"}})","p.update("&amp;M334&amp;")"
)</f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>"{"&amp;""""&amp;B334
&amp;""":{"&amp;""""&amp;C334&amp;""":{"&amp;_xlfn.CONCAT(N334:T334)&amp;"}}}"</f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34"/>
        <v>"type":"string",</v>
      </c>
      <c r="O334" t="str">
        <f t="shared" si="35"/>
        <v>"subtype":"possibly-localized-string",</v>
      </c>
      <c r="P334" t="str">
        <f t="shared" si="36"/>
        <v>"indent":1,</v>
      </c>
      <c r="Q334" t="str">
        <f t="shared" si="40"/>
        <v>"default_value":"",</v>
      </c>
      <c r="R334" t="str">
        <f t="shared" si="37"/>
        <v>"docs_url":"https://looker.com/docs/r/lookml/types/datagroup/label?version=7.14&amp;lookml=new",</v>
      </c>
      <c r="S334" t="str">
        <f t="shared" si="38"/>
        <v>"has_allowed_values":False,</v>
      </c>
      <c r="T334" t="str">
        <f t="shared" si="39"/>
        <v>"allowed_values":""</v>
      </c>
    </row>
    <row r="335" spans="1:20" ht="13" x14ac:dyDescent="0.15">
      <c r="A335" s="7">
        <v>387</v>
      </c>
      <c r="B335" s="6" t="s">
        <v>11</v>
      </c>
      <c r="C335" s="3" t="s">
        <v>135</v>
      </c>
      <c r="D335" s="4" t="s">
        <v>29</v>
      </c>
      <c r="E335" s="4" t="s">
        <v>0</v>
      </c>
      <c r="F335" s="4">
        <v>1</v>
      </c>
      <c r="G335" s="4" t="s">
        <v>592</v>
      </c>
      <c r="H335" s="4" t="s">
        <v>470</v>
      </c>
      <c r="I335" s="4" t="b">
        <v>0</v>
      </c>
      <c r="K335" s="4" t="b">
        <f>IF(COUNTIF($B$2:$B335,B335)&gt;1,TRUE,FALSE)</f>
        <v>1</v>
      </c>
      <c r="L335" t="str">
        <f>IF(
K335,"p["""&amp;B335&amp;"""].update({"&amp;""""&amp;C335&amp;""":{"&amp;_xlfn.CONCAT(N335:T335)&amp;"}})","p.update("&amp;M335&amp;")"
)</f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>"{"&amp;""""&amp;B335
&amp;""":{"&amp;""""&amp;C335&amp;""":{"&amp;_xlfn.CONCAT(N335:T335)&amp;"}}}"</f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34"/>
        <v>"type":"string",</v>
      </c>
      <c r="O335" t="str">
        <f t="shared" si="35"/>
        <v>"subtype":"possibly-localized-string",</v>
      </c>
      <c r="P335" t="str">
        <f t="shared" si="36"/>
        <v>"indent":1,</v>
      </c>
      <c r="Q335" t="str">
        <f t="shared" si="40"/>
        <v>"default_value":"",</v>
      </c>
      <c r="R335" t="str">
        <f t="shared" si="37"/>
        <v>"docs_url":"https://looker.com/docs/r/lookml/types/datagroup/description?version=7.14&amp;lookml=new",</v>
      </c>
      <c r="S335" t="str">
        <f t="shared" si="38"/>
        <v>"has_allowed_values":False,</v>
      </c>
      <c r="T335" t="str">
        <f t="shared" si="39"/>
        <v>"allowed_values":""</v>
      </c>
    </row>
    <row r="336" spans="1:20" ht="13" x14ac:dyDescent="0.15">
      <c r="A336" s="7">
        <v>390</v>
      </c>
      <c r="B336" s="6" t="s">
        <v>52</v>
      </c>
      <c r="C336" s="3" t="s">
        <v>136</v>
      </c>
      <c r="D336" s="4" t="s">
        <v>0</v>
      </c>
      <c r="E336" s="4" t="s">
        <v>0</v>
      </c>
      <c r="F336" s="4">
        <v>1</v>
      </c>
      <c r="G336" s="4" t="s">
        <v>592</v>
      </c>
      <c r="H336" s="4" t="s">
        <v>471</v>
      </c>
      <c r="I336" s="4" t="b">
        <v>0</v>
      </c>
      <c r="K336" s="4" t="b">
        <f>IF(COUNTIF($B$2:$B336,B336)&gt;1,TRUE,FALSE)</f>
        <v>1</v>
      </c>
      <c r="L336" t="str">
        <f>IF(
K336,"p["""&amp;B336&amp;"""].update({"&amp;""""&amp;C336&amp;""":{"&amp;_xlfn.CONCAT(N336:T336)&amp;"}})","p.update("&amp;M336&amp;")"
)</f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>"{"&amp;""""&amp;B336
&amp;""":{"&amp;""""&amp;C336&amp;""":{"&amp;_xlfn.CONCAT(N336:T336)&amp;"}}}"</f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34"/>
        <v>"type":"string",</v>
      </c>
      <c r="O336" t="str">
        <f t="shared" si="35"/>
        <v>"subtype":"string",</v>
      </c>
      <c r="P336" t="str">
        <f t="shared" si="36"/>
        <v>"indent":1,</v>
      </c>
      <c r="Q336" t="str">
        <f t="shared" si="40"/>
        <v>"default_value":"",</v>
      </c>
      <c r="R336" t="str">
        <f t="shared" si="37"/>
        <v>"docs_url":"https://looker.com/docs/r/lookml/types/named_value_format/value_format?version=7.14&amp;lookml=new",</v>
      </c>
      <c r="S336" t="str">
        <f t="shared" si="38"/>
        <v>"has_allowed_values":False,</v>
      </c>
      <c r="T336" t="str">
        <f t="shared" si="39"/>
        <v>"allowed_values":""</v>
      </c>
    </row>
    <row r="337" spans="1:20" ht="13" x14ac:dyDescent="0.15">
      <c r="A337" s="7">
        <v>391</v>
      </c>
      <c r="B337" s="6" t="s">
        <v>534</v>
      </c>
      <c r="C337" s="3" t="s">
        <v>136</v>
      </c>
      <c r="D337" s="4" t="s">
        <v>569</v>
      </c>
      <c r="E337" s="4" t="s">
        <v>569</v>
      </c>
      <c r="F337" s="4">
        <v>1</v>
      </c>
      <c r="G337" s="4" t="s">
        <v>604</v>
      </c>
      <c r="H337" s="4" t="s">
        <v>472</v>
      </c>
      <c r="I337" s="4" t="b">
        <v>0</v>
      </c>
      <c r="K337" s="4" t="b">
        <f>IF(COUNTIF($B$2:$B337,B337)&gt;1,TRUE,FALSE)</f>
        <v>0</v>
      </c>
      <c r="L337" t="str">
        <f>IF(
K337,"p["""&amp;B337&amp;"""].update({"&amp;""""&amp;C337&amp;""":{"&amp;_xlfn.CONCAT(N337:T337)&amp;"}})","p.update("&amp;M337&amp;")"
)</f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>"{"&amp;""""&amp;B337
&amp;""":{"&amp;""""&amp;C337&amp;""":{"&amp;_xlfn.CONCAT(N337:T337)&amp;"}}}"</f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34"/>
        <v>"type":"yesno",</v>
      </c>
      <c r="O337" t="str">
        <f t="shared" si="35"/>
        <v>"subtype":"yesno",</v>
      </c>
      <c r="P337" t="str">
        <f t="shared" si="36"/>
        <v>"indent":1,</v>
      </c>
      <c r="Q337" t="str">
        <f t="shared" si="40"/>
        <v>"default_value":"no",</v>
      </c>
      <c r="R337" t="str">
        <f t="shared" si="37"/>
        <v>"docs_url":"https://looker.com/docs/r/lookml/types/named_value_format/strict_value_format?version=7.14&amp;lookml=new",</v>
      </c>
      <c r="S337" t="str">
        <f t="shared" si="38"/>
        <v>"has_allowed_values":False,</v>
      </c>
      <c r="T337" t="str">
        <f t="shared" si="39"/>
        <v>"allowed_values":""</v>
      </c>
    </row>
    <row r="338" spans="1:20" ht="13" x14ac:dyDescent="0.15">
      <c r="A338" s="7">
        <v>394</v>
      </c>
      <c r="B338" s="6" t="s">
        <v>92</v>
      </c>
      <c r="C338" s="3" t="s">
        <v>137</v>
      </c>
      <c r="D338" s="4" t="s">
        <v>17</v>
      </c>
      <c r="E338" s="4" t="s">
        <v>596</v>
      </c>
      <c r="F338" s="4">
        <v>2</v>
      </c>
      <c r="H338" s="4" t="s">
        <v>473</v>
      </c>
      <c r="I338" s="4" t="b">
        <v>0</v>
      </c>
      <c r="K338" s="4" t="b">
        <f>IF(COUNTIF($B$2:$B338,B338)&gt;1,TRUE,FALSE)</f>
        <v>1</v>
      </c>
      <c r="L338" t="str">
        <f>IF(
K338,"p["""&amp;B338&amp;"""].update({"&amp;""""&amp;C338&amp;""":{"&amp;_xlfn.CONCAT(N338:T338)&amp;"}})","p.update("&amp;M338&amp;")"
)</f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>"{"&amp;""""&amp;B338
&amp;""":{"&amp;""""&amp;C338&amp;""":{"&amp;_xlfn.CONCAT(N338:T338)&amp;"}}}"</f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34"/>
        <v>"type":"list_unquoted",</v>
      </c>
      <c r="O338" t="str">
        <f t="shared" si="35"/>
        <v>"subtype":"field-ref",</v>
      </c>
      <c r="P338" t="str">
        <f t="shared" si="36"/>
        <v>"indent":2,</v>
      </c>
      <c r="Q338" t="str">
        <f t="shared" si="40"/>
        <v>"default_value":"",</v>
      </c>
      <c r="R338" t="str">
        <f t="shared" si="37"/>
        <v>"docs_url":"https://looker.com/docs/r/lookml/types/set/fields?version=7.14&amp;lookml=new",</v>
      </c>
      <c r="S338" t="str">
        <f t="shared" si="38"/>
        <v>"has_allowed_values":False,</v>
      </c>
      <c r="T338" t="str">
        <f t="shared" si="39"/>
        <v>"allowed_values":""</v>
      </c>
    </row>
    <row r="339" spans="1:20" ht="13" x14ac:dyDescent="0.15">
      <c r="A339" s="7">
        <v>397</v>
      </c>
      <c r="B339" s="6" t="s">
        <v>23</v>
      </c>
      <c r="C339" s="4" t="s">
        <v>518</v>
      </c>
      <c r="D339" s="4" t="s">
        <v>0</v>
      </c>
      <c r="E339" s="4" t="s">
        <v>0</v>
      </c>
      <c r="F339" s="4">
        <v>5</v>
      </c>
      <c r="G339" s="4" t="s">
        <v>592</v>
      </c>
      <c r="H339" s="5" t="s">
        <v>448</v>
      </c>
      <c r="I339" s="4" t="b">
        <v>0</v>
      </c>
      <c r="K339" s="4" t="b">
        <f>IF(COUNTIF($B$2:$B339,B339)&gt;1,TRUE,FALSE)</f>
        <v>1</v>
      </c>
      <c r="L339" t="str">
        <f>IF(
K339,"p["""&amp;B339&amp;"""].update({"&amp;""""&amp;C339&amp;""":{"&amp;_xlfn.CONCAT(N339:T339)&amp;"}})","p.update("&amp;M339&amp;")"
)</f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>"{"&amp;""""&amp;B339
&amp;""":{"&amp;""""&amp;C339&amp;""":{"&amp;_xlfn.CONCAT(N339:T339)&amp;"}}}"</f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34"/>
        <v>"type":"string",</v>
      </c>
      <c r="O339" t="str">
        <f t="shared" si="35"/>
        <v>"subtype":"string",</v>
      </c>
      <c r="P339" t="str">
        <f t="shared" si="36"/>
        <v>"indent":5,</v>
      </c>
      <c r="Q339" t="str">
        <f t="shared" si="40"/>
        <v>"default_value":"",</v>
      </c>
      <c r="R339" t="str">
        <f t="shared" si="37"/>
        <v>"docs_url":"https://looker.com/docs/r/lookml/types/case/when?version=7.14&amp;lookml=new",</v>
      </c>
      <c r="S339" t="str">
        <f t="shared" si="38"/>
        <v>"has_allowed_values":False,</v>
      </c>
      <c r="T339" t="str">
        <f t="shared" si="39"/>
        <v>"allowed_values":""</v>
      </c>
    </row>
    <row r="340" spans="1:20" ht="15" customHeight="1" x14ac:dyDescent="0.15">
      <c r="A340" s="7">
        <v>398</v>
      </c>
      <c r="B340" s="6" t="s">
        <v>606</v>
      </c>
      <c r="C340" s="4" t="s">
        <v>518</v>
      </c>
      <c r="D340" s="4" t="s">
        <v>613</v>
      </c>
      <c r="E340" s="4" t="s">
        <v>34</v>
      </c>
      <c r="F340" s="4">
        <v>5</v>
      </c>
      <c r="G340" s="4" t="s">
        <v>592</v>
      </c>
      <c r="H340" s="5" t="s">
        <v>448</v>
      </c>
      <c r="I340" s="4" t="b">
        <v>0</v>
      </c>
      <c r="K340" s="4" t="b">
        <f>IF(COUNTIF($B$2:$B340,B340)&gt;1,TRUE,FALSE)</f>
        <v>0</v>
      </c>
      <c r="L340" t="str">
        <f>IF(
K340,"p["""&amp;B340&amp;"""].update({"&amp;""""&amp;C340&amp;""":{"&amp;_xlfn.CONCAT(N340:T340)&amp;"}})","p.update("&amp;M340&amp;")"
)</f>
        <v>p.update({"sql:":{"when":{"type":"sql","subtype":"sql-block ","indent":5,"default_value":"","docs_url":"https://looker.com/docs/r/lookml/types/case/when?version=7.14&amp;lookml=new","has_allowed_values":False,"allowed_values":""}}})</v>
      </c>
      <c r="M340" t="str">
        <f>"{"&amp;""""&amp;B340
&amp;""":{"&amp;""""&amp;C340&amp;""":{"&amp;_xlfn.CONCAT(N340:T340)&amp;"}}}"</f>
        <v>{"sql:":{"when":{"type":"sql","subtype":"sql-block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34"/>
        <v>"type":"sql",</v>
      </c>
      <c r="O340" t="str">
        <f t="shared" si="35"/>
        <v>"subtype":"sql-block ",</v>
      </c>
      <c r="P340" t="str">
        <f t="shared" si="36"/>
        <v>"indent":5,</v>
      </c>
      <c r="Q340" t="str">
        <f t="shared" si="40"/>
        <v>"default_value":"",</v>
      </c>
      <c r="R340" t="str">
        <f t="shared" si="37"/>
        <v>"docs_url":"https://looker.com/docs/r/lookml/types/case/when?version=7.14&amp;lookml=new",</v>
      </c>
      <c r="S340" t="str">
        <f t="shared" si="38"/>
        <v>"has_allowed_values":False,</v>
      </c>
      <c r="T340" t="str">
        <f t="shared" si="39"/>
        <v>"allowed_values":""</v>
      </c>
    </row>
    <row r="341" spans="1:20" ht="15" customHeight="1" x14ac:dyDescent="0.15">
      <c r="A341" s="7">
        <v>401</v>
      </c>
      <c r="B341" s="6" t="s">
        <v>121</v>
      </c>
      <c r="C341" s="4" t="s">
        <v>474</v>
      </c>
      <c r="D341" s="4" t="s">
        <v>598</v>
      </c>
      <c r="E341" s="4" t="s">
        <v>598</v>
      </c>
      <c r="F341" s="4">
        <v>1</v>
      </c>
      <c r="H341" s="5" t="s">
        <v>542</v>
      </c>
      <c r="I341" s="4" t="b">
        <v>0</v>
      </c>
      <c r="K341" s="4" t="b">
        <f>IF(COUNTIF($B$2:$B341,B341)&gt;1,TRUE,FALSE)</f>
        <v>0</v>
      </c>
      <c r="L341" t="str">
        <f>IF(
K341,"p["""&amp;B341&amp;"""].update({"&amp;""""&amp;C341&amp;""":{"&amp;_xlfn.CONCAT(N341:T341)&amp;"}})","p.update("&amp;M341&amp;")"
)</f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>"{"&amp;""""&amp;B341
&amp;""":{"&amp;""""&amp;C341&amp;""":{"&amp;_xlfn.CONCAT(N341:T341)&amp;"}}}"</f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34"/>
        <v>"type":"list_quoted",</v>
      </c>
      <c r="O341" t="str">
        <f t="shared" si="35"/>
        <v>"subtype":"list_quoted",</v>
      </c>
      <c r="P341" t="str">
        <f t="shared" si="36"/>
        <v>"indent":1,</v>
      </c>
      <c r="Q341" t="str">
        <f t="shared" si="40"/>
        <v>"default_value":"",</v>
      </c>
      <c r="R341" t="str">
        <f t="shared" si="37"/>
        <v>"docs_url":"https://looker.com/docs/r/lookml/types/access_grant/allowed_values?version=7.14&amp;lookml=new",</v>
      </c>
      <c r="S341" t="str">
        <f t="shared" si="38"/>
        <v>"has_allowed_values":False,</v>
      </c>
      <c r="T341" t="str">
        <f t="shared" si="39"/>
        <v>"allowed_values":""</v>
      </c>
    </row>
    <row r="342" spans="1:20" ht="15" customHeight="1" x14ac:dyDescent="0.15">
      <c r="A342" s="7">
        <v>402</v>
      </c>
      <c r="B342" s="6" t="s">
        <v>601</v>
      </c>
      <c r="C342" s="4" t="s">
        <v>474</v>
      </c>
      <c r="D342" s="4" t="s">
        <v>544</v>
      </c>
      <c r="E342" s="1" t="s">
        <v>599</v>
      </c>
      <c r="F342" s="4">
        <v>1</v>
      </c>
      <c r="H342" s="5" t="s">
        <v>543</v>
      </c>
      <c r="I342" s="4" t="b">
        <v>0</v>
      </c>
      <c r="K342" s="4" t="b">
        <f>IF(COUNTIF($B$2:$B342,B342)&gt;1,TRUE,FALSE)</f>
        <v>0</v>
      </c>
      <c r="L342" t="str">
        <f>IF(
K342,"p["""&amp;B342&amp;"""].update({"&amp;""""&amp;C342&amp;""":{"&amp;_xlfn.CONCAT(N342:T342)&amp;"}})","p.update("&amp;M342&amp;")"
)</f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>"{"&amp;""""&amp;B342
&amp;""":{"&amp;""""&amp;C342&amp;""":{"&amp;_xlfn.CONCAT(N342:T342)&amp;"}}}"</f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34"/>
        <v>"type":"string_unquoted",</v>
      </c>
      <c r="O342" t="str">
        <f t="shared" si="35"/>
        <v>"subtype":"user-attribute-ref",</v>
      </c>
      <c r="P342" t="str">
        <f t="shared" si="36"/>
        <v>"indent":1,</v>
      </c>
      <c r="Q342" t="str">
        <f t="shared" si="40"/>
        <v>"default_value":"",</v>
      </c>
      <c r="R342" t="str">
        <f t="shared" si="37"/>
        <v>"docs_url":"https://looker.com/docs/r/lookml/types/access_grant/user_attribute?version=7.14&amp;lookml=new",</v>
      </c>
      <c r="S342" t="str">
        <f t="shared" si="38"/>
        <v>"has_allowed_values":False,</v>
      </c>
      <c r="T342" t="str">
        <f t="shared" si="39"/>
        <v>"allowed_values":""</v>
      </c>
    </row>
    <row r="343" spans="1:20" ht="15" customHeight="1" x14ac:dyDescent="0.15">
      <c r="A343" s="7">
        <v>405</v>
      </c>
      <c r="B343" s="4" t="s">
        <v>549</v>
      </c>
      <c r="C343" s="4" t="s">
        <v>67</v>
      </c>
      <c r="D343" s="4" t="s">
        <v>613</v>
      </c>
      <c r="E343" s="4" t="s">
        <v>34</v>
      </c>
      <c r="F343" s="4">
        <v>3</v>
      </c>
      <c r="G343" s="4" t="s">
        <v>592</v>
      </c>
      <c r="H343" s="5" t="s">
        <v>545</v>
      </c>
      <c r="I343" s="4" t="b">
        <v>0</v>
      </c>
      <c r="K343" s="4" t="b">
        <f>IF(COUNTIF($B$2:$B343,B343)&gt;1,TRUE,FALSE)</f>
        <v>0</v>
      </c>
      <c r="L343" t="str">
        <f>IF(
K343,"p["""&amp;B343&amp;"""].update({"&amp;""""&amp;C343&amp;""":{"&amp;_xlfn.CONCAT(N343:T343)&amp;"}})","p.update("&amp;M343&amp;")"
)</f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>"{"&amp;""""&amp;B343
&amp;""":{"&amp;""""&amp;C343&amp;""":{"&amp;_xlfn.CONCAT(N343:T343)&amp;"}}}"</f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34"/>
        <v>"type":"sql",</v>
      </c>
      <c r="O343" t="str">
        <f t="shared" si="35"/>
        <v>"subtype":"sql-block ",</v>
      </c>
      <c r="P343" t="str">
        <f t="shared" si="36"/>
        <v>"indent":3,</v>
      </c>
      <c r="Q343" t="str">
        <f t="shared" si="40"/>
        <v>"default_value":"",</v>
      </c>
      <c r="R343" t="str">
        <f t="shared" si="37"/>
        <v>"docs_url":"https://docs.looker.com/reference/view-params/create_process?version=7.14&amp;lookml=new",</v>
      </c>
      <c r="S343" t="str">
        <f t="shared" si="38"/>
        <v>"has_allowed_values":False,</v>
      </c>
      <c r="T343" t="str">
        <f t="shared" si="39"/>
        <v>"allowed_values":""</v>
      </c>
    </row>
    <row r="344" spans="1:20" ht="15" customHeight="1" x14ac:dyDescent="0.15">
      <c r="A344" s="7">
        <v>408</v>
      </c>
      <c r="B344" s="6" t="s">
        <v>495</v>
      </c>
      <c r="C344" s="4" t="s">
        <v>480</v>
      </c>
      <c r="D344" s="4" t="s">
        <v>0</v>
      </c>
      <c r="E344" s="4" t="s">
        <v>0</v>
      </c>
      <c r="F344" s="4">
        <v>1</v>
      </c>
      <c r="G344" s="4" t="s">
        <v>592</v>
      </c>
      <c r="H344" s="4" t="s">
        <v>154</v>
      </c>
      <c r="I344" s="4" t="b">
        <v>0</v>
      </c>
      <c r="K344" s="4" t="b">
        <f>IF(COUNTIF($B$2:$B344,B344)&gt;1,TRUE,FALSE)</f>
        <v>1</v>
      </c>
      <c r="L344" t="str">
        <f>IF(
K344,"p["""&amp;B344&amp;"""].update({"&amp;""""&amp;C344&amp;""":{"&amp;_xlfn.CONCAT(N344:T344)&amp;"}})","p.update("&amp;M344&amp;")"
)</f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>"{"&amp;""""&amp;B344
&amp;""":{"&amp;""""&amp;C344&amp;""":{"&amp;_xlfn.CONCAT(N344:T344)&amp;"}}}"</f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34"/>
        <v>"type":"string",</v>
      </c>
      <c r="O344" t="str">
        <f t="shared" si="35"/>
        <v>"subtype":"string",</v>
      </c>
      <c r="P344" t="str">
        <f t="shared" si="36"/>
        <v>"indent":1,</v>
      </c>
      <c r="Q344" t="str">
        <f t="shared" si="40"/>
        <v>"default_value":"",</v>
      </c>
      <c r="R344" t="str">
        <f t="shared" si="37"/>
        <v>"docs_url":"https://looker.com/docs/r/lookml/types/manifest/remote_dependency?version=7.14&amp;lookml=new",</v>
      </c>
      <c r="S344" t="str">
        <f t="shared" si="38"/>
        <v>"has_allowed_values":False,</v>
      </c>
      <c r="T344" t="str">
        <f t="shared" si="39"/>
        <v>"allowed_values":""</v>
      </c>
    </row>
    <row r="345" spans="1:20" ht="15" customHeight="1" x14ac:dyDescent="0.15">
      <c r="A345" s="7">
        <v>409</v>
      </c>
      <c r="B345" s="6" t="s">
        <v>546</v>
      </c>
      <c r="C345" s="4" t="s">
        <v>480</v>
      </c>
      <c r="D345" s="4" t="s">
        <v>0</v>
      </c>
      <c r="E345" s="4" t="s">
        <v>0</v>
      </c>
      <c r="F345" s="4">
        <v>1</v>
      </c>
      <c r="G345" s="4" t="s">
        <v>592</v>
      </c>
      <c r="H345" s="4" t="s">
        <v>154</v>
      </c>
      <c r="I345" s="4" t="b">
        <v>0</v>
      </c>
      <c r="K345" s="4" t="b">
        <f>IF(COUNTIF($B$2:$B345,B345)&gt;1,TRUE,FALSE)</f>
        <v>0</v>
      </c>
      <c r="L345" t="str">
        <f>IF(
K345,"p["""&amp;B345&amp;"""].update({"&amp;""""&amp;C345&amp;""":{"&amp;_xlfn.CONCAT(N345:T345)&amp;"}})","p.update("&amp;M345&amp;")"
)</f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>"{"&amp;""""&amp;B345
&amp;""":{"&amp;""""&amp;C345&amp;""":{"&amp;_xlfn.CONCAT(N345:T345)&amp;"}}}"</f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34"/>
        <v>"type":"string",</v>
      </c>
      <c r="O345" t="str">
        <f t="shared" si="35"/>
        <v>"subtype":"string",</v>
      </c>
      <c r="P345" t="str">
        <f t="shared" si="36"/>
        <v>"indent":1,</v>
      </c>
      <c r="Q345" t="str">
        <f t="shared" si="40"/>
        <v>"default_value":"",</v>
      </c>
      <c r="R345" t="str">
        <f t="shared" si="37"/>
        <v>"docs_url":"https://looker.com/docs/r/lookml/types/manifest/remote_dependency?version=7.14&amp;lookml=new",</v>
      </c>
      <c r="S345" t="str">
        <f t="shared" si="38"/>
        <v>"has_allowed_values":False,</v>
      </c>
      <c r="T345" t="str">
        <f t="shared" si="39"/>
        <v>"allowed_values":""</v>
      </c>
    </row>
    <row r="346" spans="1:20" ht="15" customHeight="1" x14ac:dyDescent="0.15">
      <c r="A346" s="7">
        <v>410</v>
      </c>
      <c r="B346" s="6" t="s">
        <v>547</v>
      </c>
      <c r="C346" s="4" t="s">
        <v>480</v>
      </c>
      <c r="D346" s="4" t="s">
        <v>537</v>
      </c>
      <c r="E346" s="4" t="s">
        <v>599</v>
      </c>
      <c r="F346" s="4">
        <v>1</v>
      </c>
      <c r="H346" s="4" t="s">
        <v>154</v>
      </c>
      <c r="I346" s="4" t="b">
        <v>0</v>
      </c>
      <c r="K346" s="4" t="b">
        <f>IF(COUNTIF($B$2:$B346,B346)&gt;1,TRUE,FALSE)</f>
        <v>0</v>
      </c>
      <c r="L346" t="str">
        <f>IF(
K346,"p["""&amp;B346&amp;"""].update({"&amp;""""&amp;C346&amp;""":{"&amp;_xlfn.CONCAT(N346:T346)&amp;"}})","p.update("&amp;M346&amp;")"
)</f>
        <v>p.update({"override_constant":{"remote_dependency":{"type":"string_unquoted","subtype":"constant-ref","indent":1,"default_value":"","docs_url":"https://looker.com/docs/r/lookml/types/manifest/remote_dependency?version=7.14&amp;lookml=new","has_allowed_values":False,"allowed_values":""}}})</v>
      </c>
      <c r="M346" t="str">
        <f>"{"&amp;""""&amp;B346
&amp;""":{"&amp;""""&amp;C346&amp;""":{"&amp;_xlfn.CONCAT(N346:T346)&amp;"}}}"</f>
        <v>{"override_constant":{"remote_dependency":{"type":"string_unquoted","subtype":"constant-ref","indent":1,"default_value":"","docs_url":"https://looker.com/docs/r/lookml/types/manifest/remote_dependency?version=7.14&amp;lookml=new","has_allowed_values":False,"allowed_values":""}}}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34"/>
        <v>"type":"string_unquoted",</v>
      </c>
      <c r="O346" t="str">
        <f t="shared" si="35"/>
        <v>"subtype":"constant-ref",</v>
      </c>
      <c r="P346" t="str">
        <f t="shared" si="36"/>
        <v>"indent":1,</v>
      </c>
      <c r="Q346" t="str">
        <f t="shared" si="40"/>
        <v>"default_value":"",</v>
      </c>
      <c r="R346" t="str">
        <f t="shared" si="37"/>
        <v>"docs_url":"https://looker.com/docs/r/lookml/types/manifest/remote_dependency?version=7.14&amp;lookml=new",</v>
      </c>
      <c r="S346" t="str">
        <f t="shared" si="38"/>
        <v>"has_allowed_values":False,</v>
      </c>
      <c r="T346" t="str">
        <f t="shared" si="39"/>
        <v>"allowed_values":""</v>
      </c>
    </row>
    <row r="347" spans="1:20" ht="15" customHeight="1" x14ac:dyDescent="0.15">
      <c r="A347" s="7">
        <v>413</v>
      </c>
      <c r="B347" s="6" t="s">
        <v>548</v>
      </c>
      <c r="C347" s="5" t="s">
        <v>547</v>
      </c>
      <c r="D347" s="4" t="s">
        <v>0</v>
      </c>
      <c r="E347" s="4" t="s">
        <v>0</v>
      </c>
      <c r="F347" s="4">
        <v>2</v>
      </c>
      <c r="G347" s="4" t="s">
        <v>592</v>
      </c>
      <c r="H347" s="5" t="s">
        <v>550</v>
      </c>
      <c r="I347" s="4" t="b">
        <v>0</v>
      </c>
      <c r="K347" s="4" t="b">
        <f>IF(COUNTIF($B$2:$B347,B347)&gt;1,TRUE,FALSE)</f>
        <v>0</v>
      </c>
      <c r="L347" t="str">
        <f>IF(
K347,"p["""&amp;B347&amp;"""].update({"&amp;""""&amp;C347&amp;""":{"&amp;_xlfn.CONCAT(N347:T347)&amp;"}})","p.update("&amp;M347&amp;")"
)</f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>"{"&amp;""""&amp;B347
&amp;""":{"&amp;""""&amp;C347&amp;""":{"&amp;_xlfn.CONCAT(N347:T347)&amp;"}}}"</f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34"/>
        <v>"type":"string",</v>
      </c>
      <c r="O347" t="str">
        <f t="shared" si="35"/>
        <v>"subtype":"string",</v>
      </c>
      <c r="P347" t="str">
        <f t="shared" si="36"/>
        <v>"indent":2,</v>
      </c>
      <c r="Q347" t="str">
        <f t="shared" si="40"/>
        <v>"default_value":"",</v>
      </c>
      <c r="R347" t="str">
        <f t="shared" si="37"/>
        <v>"docs_url":"https://docs.looker.com/data-modeling/learning-lookml/importing-projects?version=7.14&amp;lookml=new#passing_constants_between_projects",</v>
      </c>
      <c r="S347" t="str">
        <f t="shared" si="38"/>
        <v>"has_allowed_values":False,</v>
      </c>
      <c r="T347" t="str">
        <f t="shared" si="39"/>
        <v>"allowed_values":""</v>
      </c>
    </row>
    <row r="348" spans="1:20" ht="15" customHeight="1" x14ac:dyDescent="0.15">
      <c r="A348" s="7">
        <v>414</v>
      </c>
      <c r="B348" s="6" t="s">
        <v>495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592</v>
      </c>
      <c r="H348" s="4" t="s">
        <v>609</v>
      </c>
      <c r="I348" s="4" t="b">
        <v>0</v>
      </c>
      <c r="K348" s="4" t="b">
        <f>IF(COUNTIF($B$2:$B348,B348)&gt;1,TRUE,FALSE)</f>
        <v>1</v>
      </c>
      <c r="L348" t="str">
        <f t="shared" ref="L348:L353" si="41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42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34"/>
        <v>"type":"string",</v>
      </c>
      <c r="O348" t="str">
        <f>"""subtype"":"&amp;""""&amp;D348&amp;""","</f>
        <v>"subtype":"string",</v>
      </c>
      <c r="P348" t="str">
        <f t="shared" si="36"/>
        <v>"indent":3,</v>
      </c>
      <c r="Q348" t="str">
        <f t="shared" si="40"/>
        <v>"default_value":"",</v>
      </c>
      <c r="R348" t="str">
        <f t="shared" si="37"/>
        <v>"docs_url":"https://docs.looker.com/reference/field-params/link?version=7.14&amp;lookml=new",</v>
      </c>
      <c r="S348" t="str">
        <f t="shared" si="38"/>
        <v>"has_allowed_values":False,</v>
      </c>
      <c r="T348" t="str">
        <f t="shared" si="39"/>
        <v>"allowed_values":""</v>
      </c>
    </row>
    <row r="349" spans="1:20" ht="15" customHeight="1" x14ac:dyDescent="0.15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592</v>
      </c>
      <c r="H349" s="10" t="s">
        <v>609</v>
      </c>
      <c r="I349" s="4" t="b">
        <v>0</v>
      </c>
      <c r="K349" s="4" t="b">
        <f>IF(COUNTIF($B$2:$B349,B349)&gt;1,TRUE,FALSE)</f>
        <v>1</v>
      </c>
      <c r="L349" t="str">
        <f t="shared" si="41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42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43">"""type"":"&amp;""""&amp;E349&amp;""","</f>
        <v>"type":"string",</v>
      </c>
      <c r="O349" t="str">
        <f t="shared" ref="O349:O350" si="44">"""subtype"":"&amp;""""&amp;D349&amp;""","</f>
        <v>"subtype":"string",</v>
      </c>
      <c r="P349" t="str">
        <f t="shared" si="36"/>
        <v>"indent":3,</v>
      </c>
      <c r="Q349" t="str">
        <f t="shared" si="40"/>
        <v>"default_value":"",</v>
      </c>
      <c r="R349" t="str">
        <f t="shared" si="37"/>
        <v>"docs_url":"https://docs.looker.com/reference/field-params/link?version=7.14&amp;lookml=new",</v>
      </c>
      <c r="S349" t="str">
        <f t="shared" si="38"/>
        <v>"has_allowed_values":False,</v>
      </c>
      <c r="T349" t="str">
        <f t="shared" si="39"/>
        <v>"allowed_values":""</v>
      </c>
    </row>
    <row r="350" spans="1:20" ht="15" customHeight="1" x14ac:dyDescent="0.15">
      <c r="A350" s="7">
        <v>416</v>
      </c>
      <c r="B350" s="6" t="s">
        <v>510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592</v>
      </c>
      <c r="H350" s="10" t="s">
        <v>609</v>
      </c>
      <c r="I350" s="4" t="b">
        <v>0</v>
      </c>
      <c r="K350" s="4" t="b">
        <f>IF(COUNTIF($B$2:$B350,B350)&gt;1,TRUE,FALSE)</f>
        <v>1</v>
      </c>
      <c r="L350" t="str">
        <f t="shared" si="41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42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43"/>
        <v>"type":"string",</v>
      </c>
      <c r="O350" t="str">
        <f t="shared" si="44"/>
        <v>"subtype":"string",</v>
      </c>
      <c r="P350" t="str">
        <f t="shared" si="36"/>
        <v>"indent":3,</v>
      </c>
      <c r="Q350" t="str">
        <f t="shared" ref="Q350" si="45">"""default_value"":"&amp;IF(G350="""""",""""",",IF(LEFT(G350,1)="[",G350,""""&amp;G350&amp;"""")&amp;",")</f>
        <v>"default_value":"",</v>
      </c>
      <c r="R350" t="str">
        <f t="shared" ref="R350" si="46">"""docs_url"":"&amp;""""&amp;H350&amp;""","</f>
        <v>"docs_url":"https://docs.looker.com/reference/field-params/link?version=7.14&amp;lookml=new",</v>
      </c>
      <c r="S350" t="str">
        <f t="shared" ref="S350:S353" si="47">"""has_allowed_values"":"&amp;IF(I350,"True,","False"&amp;",")</f>
        <v>"has_allowed_values":False,</v>
      </c>
      <c r="T350" t="str">
        <f t="shared" ref="T350" si="48">"""allowed_values"":"&amp;IF(J350&lt;&gt;"",J350,"""""")</f>
        <v>"allowed_values":""</v>
      </c>
    </row>
    <row r="351" spans="1:20" ht="15" customHeight="1" x14ac:dyDescent="0.25">
      <c r="A351" s="7">
        <v>417</v>
      </c>
      <c r="B351" s="11" t="s">
        <v>617</v>
      </c>
      <c r="C351" s="6" t="s">
        <v>115</v>
      </c>
      <c r="D351" s="4" t="s">
        <v>598</v>
      </c>
      <c r="E351" s="4" t="s">
        <v>598</v>
      </c>
      <c r="F351" s="4">
        <v>3</v>
      </c>
      <c r="H351" s="4" t="s">
        <v>616</v>
      </c>
      <c r="I351" s="4" t="b">
        <v>0</v>
      </c>
      <c r="K351" s="4" t="b">
        <f>IF(COUNTIF($B$2:$B351,#REF!)&gt;1,TRUE,FALSE)</f>
        <v>0</v>
      </c>
      <c r="L351" t="str">
        <f t="shared" si="41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42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43"/>
        <v>"type":"list_quoted",</v>
      </c>
      <c r="O351" t="str">
        <f>"""subtype"":"&amp;""""&amp;D351&amp;""","</f>
        <v>"subtype":"list_quoted",</v>
      </c>
      <c r="P351" t="str">
        <f t="shared" si="36"/>
        <v>"indent":3,</v>
      </c>
      <c r="Q351" t="str">
        <f t="shared" ref="Q351:Q353" si="49">"""default_value"":"&amp;IF(G351="""""",""""",",IF(LEFT(G351,1)="[",G351,""""&amp;G351&amp;"""")&amp;",")</f>
        <v>"default_value":"",</v>
      </c>
      <c r="R351" t="str">
        <f t="shared" ref="R351:R353" si="50">"""docs_url"":"&amp;""""&amp;H351&amp;""","</f>
        <v>"docs_url":"https://docs.looker.com/reference/manifest-params/application?version=7.18&amp;lookml=new#new_window",</v>
      </c>
      <c r="S351" t="str">
        <f t="shared" si="47"/>
        <v>"has_allowed_values":False,</v>
      </c>
      <c r="T351" t="str">
        <f t="shared" si="39"/>
        <v>"allowed_values":""</v>
      </c>
    </row>
    <row r="352" spans="1:20" ht="15" customHeight="1" x14ac:dyDescent="0.15">
      <c r="A352" s="7">
        <v>418</v>
      </c>
      <c r="B352" s="4" t="s">
        <v>618</v>
      </c>
      <c r="C352" s="6" t="s">
        <v>115</v>
      </c>
      <c r="D352" s="4" t="s">
        <v>569</v>
      </c>
      <c r="E352" s="4" t="s">
        <v>569</v>
      </c>
      <c r="F352" s="4">
        <v>3</v>
      </c>
      <c r="G352" s="4" t="s">
        <v>604</v>
      </c>
      <c r="H352" s="10" t="s">
        <v>620</v>
      </c>
      <c r="I352" s="4" t="b">
        <v>0</v>
      </c>
      <c r="K352" s="4" t="b">
        <f>IF(COUNTIF($B$2:$B352,B352)&gt;1,TRUE,FALSE)</f>
        <v>0</v>
      </c>
      <c r="L352" t="str">
        <f t="shared" si="41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42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353" si="51">"""type"":"&amp;""""&amp;E352&amp;""","</f>
        <v>"type":"yesno",</v>
      </c>
      <c r="O352" t="str">
        <f t="shared" ref="O352:O353" si="52">"""subtype"":"&amp;""""&amp;D352&amp;""","</f>
        <v>"subtype":"yesno",</v>
      </c>
      <c r="P352" t="str">
        <f t="shared" si="36"/>
        <v>"indent":3,</v>
      </c>
      <c r="Q352" t="str">
        <f t="shared" si="49"/>
        <v>"default_value":"no",</v>
      </c>
      <c r="R352" t="str">
        <f t="shared" si="50"/>
        <v>"docs_url":"https://docs.looker.com/reference/manifest-params/application?version=7.18&amp;lookml=new#use_form_submit",</v>
      </c>
      <c r="S352" t="str">
        <f t="shared" si="47"/>
        <v>"has_allowed_values":False,</v>
      </c>
      <c r="T352" t="str">
        <f t="shared" si="39"/>
        <v>"allowed_values":""</v>
      </c>
    </row>
    <row r="353" spans="1:20" ht="15" customHeight="1" x14ac:dyDescent="0.15">
      <c r="A353" s="7">
        <v>419</v>
      </c>
      <c r="B353" s="4" t="s">
        <v>619</v>
      </c>
      <c r="C353" s="6" t="s">
        <v>115</v>
      </c>
      <c r="D353" s="4" t="s">
        <v>569</v>
      </c>
      <c r="E353" s="4" t="s">
        <v>569</v>
      </c>
      <c r="F353" s="4">
        <v>3</v>
      </c>
      <c r="G353" s="4" t="s">
        <v>604</v>
      </c>
      <c r="H353" s="10" t="s">
        <v>621</v>
      </c>
      <c r="I353" s="4" t="b">
        <v>0</v>
      </c>
      <c r="K353" s="4" t="b">
        <f>IF(COUNTIF($B$2:$B353,B353)&gt;1,TRUE,FALSE)</f>
        <v>0</v>
      </c>
      <c r="L353" t="str">
        <f t="shared" si="41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42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51"/>
        <v>"type":"yesno",</v>
      </c>
      <c r="O353" t="str">
        <f t="shared" si="52"/>
        <v>"subtype":"yesno",</v>
      </c>
      <c r="P353" t="str">
        <f t="shared" si="36"/>
        <v>"indent":3,</v>
      </c>
      <c r="Q353" t="str">
        <f t="shared" si="49"/>
        <v>"default_value":"no",</v>
      </c>
      <c r="R353" t="str">
        <f t="shared" si="50"/>
        <v>"docs_url":"https://docs.looker.com/reference/manifest-params/application?version=7.18&amp;lookml=new#use_embeds",</v>
      </c>
      <c r="S353" t="str">
        <f t="shared" si="47"/>
        <v>"has_allowed_values":False,</v>
      </c>
      <c r="T353" t="str">
        <f t="shared" si="39"/>
        <v>"allowed_values":""</v>
      </c>
    </row>
    <row r="356" spans="1:20" ht="15" customHeight="1" x14ac:dyDescent="0.15">
      <c r="B356" s="10"/>
    </row>
    <row r="357" spans="1:20" ht="15" customHeight="1" x14ac:dyDescent="0.25">
      <c r="B357" s="11"/>
    </row>
    <row r="358" spans="1:20" ht="15" customHeight="1" x14ac:dyDescent="0.25">
      <c r="B358" s="11"/>
    </row>
    <row r="359" spans="1:20" ht="15" customHeight="1" x14ac:dyDescent="0.25">
      <c r="B359" s="11"/>
    </row>
    <row r="361" spans="1:20" ht="15" customHeight="1" x14ac:dyDescent="0.25">
      <c r="B361" s="11"/>
    </row>
    <row r="362" spans="1:20" ht="15" customHeight="1" x14ac:dyDescent="0.25">
      <c r="B362" s="11"/>
    </row>
    <row r="363" spans="1:20" ht="15" customHeight="1" x14ac:dyDescent="0.25">
      <c r="B363" s="11"/>
    </row>
    <row r="364" spans="1:20" ht="15" customHeight="1" x14ac:dyDescent="0.25">
      <c r="B364" s="11"/>
    </row>
    <row r="365" spans="1:20" ht="15" customHeight="1" x14ac:dyDescent="0.25">
      <c r="B365" s="11"/>
    </row>
    <row r="366" spans="1:20" ht="15" customHeight="1" x14ac:dyDescent="0.25">
      <c r="B366" s="11"/>
    </row>
    <row r="367" spans="1:20" ht="15" customHeight="1" x14ac:dyDescent="0.25">
      <c r="B367" s="11"/>
    </row>
    <row r="368" spans="1:20" ht="15" customHeight="1" x14ac:dyDescent="0.25">
      <c r="B368" s="12"/>
    </row>
  </sheetData>
  <autoFilter ref="A1:J353" xr:uid="{ADA28AC6-3A3D-CB4D-A516-D61924D83BF1}"/>
  <conditionalFormatting sqref="B1:B350 B352:B355 B369:B1048576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2020-11-04T21:02:20Z</dcterms:modified>
</cp:coreProperties>
</file>