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A3F1F466-0D96-4A43-8158-F75CB575FA44}" xr6:coauthVersionLast="45" xr6:coauthVersionMax="45" xr10:uidLastSave="{00000000-0000-0000-0000-000000000000}"/>
  <bookViews>
    <workbookView xWindow="0" yWindow="500" windowWidth="33600" windowHeight="19320" xr2:uid="{00000000-000D-0000-FFFF-FFFF00000000}"/>
  </bookViews>
  <sheets>
    <sheet name="map" sheetId="7" r:id="rId1"/>
    <sheet name="Sheet1" sheetId="8" r:id="rId2"/>
  </sheets>
  <functionGroups builtInGroupCount="19"/>
  <definedNames>
    <definedName name="_xlnm._FilterDatabase" localSheetId="0" hidden="1">map!$A$1:$J$410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75" i="7" l="1"/>
  <c r="K373" i="7" l="1"/>
  <c r="K374" i="7"/>
  <c r="E4" i="8"/>
  <c r="E3" i="8"/>
  <c r="R372" i="7"/>
  <c r="K372" i="7"/>
  <c r="K371" i="7"/>
  <c r="K370" i="7"/>
  <c r="K369" i="7"/>
  <c r="R370" i="7" l="1"/>
  <c r="S370" i="7"/>
  <c r="T370" i="7"/>
  <c r="R371" i="7"/>
  <c r="S371" i="7"/>
  <c r="T371" i="7"/>
  <c r="S372" i="7"/>
  <c r="T372" i="7"/>
  <c r="R373" i="7"/>
  <c r="S373" i="7"/>
  <c r="T373" i="7"/>
  <c r="R374" i="7"/>
  <c r="S374" i="7"/>
  <c r="T374" i="7"/>
  <c r="R375" i="7"/>
  <c r="S375" i="7"/>
  <c r="T375" i="7"/>
  <c r="R376" i="7"/>
  <c r="S376" i="7"/>
  <c r="T376" i="7"/>
  <c r="R377" i="7"/>
  <c r="S377" i="7"/>
  <c r="T377" i="7"/>
  <c r="R378" i="7"/>
  <c r="S378" i="7"/>
  <c r="T378" i="7"/>
  <c r="R379" i="7"/>
  <c r="S379" i="7"/>
  <c r="T379" i="7"/>
  <c r="R380" i="7"/>
  <c r="S380" i="7"/>
  <c r="T380" i="7"/>
  <c r="R381" i="7"/>
  <c r="S381" i="7"/>
  <c r="T381" i="7"/>
  <c r="R382" i="7"/>
  <c r="S382" i="7"/>
  <c r="T382" i="7"/>
  <c r="N370" i="7"/>
  <c r="O370" i="7"/>
  <c r="P370" i="7"/>
  <c r="Q370" i="7"/>
  <c r="L410" i="7"/>
  <c r="K368" i="7"/>
  <c r="K367" i="7"/>
  <c r="K360" i="7"/>
  <c r="K361" i="7"/>
  <c r="K362" i="7"/>
  <c r="K363" i="7"/>
  <c r="K364" i="7"/>
  <c r="K365" i="7"/>
  <c r="K366" i="7"/>
  <c r="K358" i="7"/>
  <c r="K359" i="7"/>
  <c r="L370" i="7" l="1"/>
  <c r="M370" i="7"/>
  <c r="Q358" i="7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S369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1" i="7"/>
  <c r="L371" i="7" s="1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S356" i="7"/>
  <c r="S357" i="7"/>
  <c r="R354" i="7"/>
  <c r="R355" i="7"/>
  <c r="R356" i="7"/>
  <c r="R357" i="7"/>
  <c r="K356" i="7"/>
  <c r="K357" i="7"/>
  <c r="Q357" i="7"/>
  <c r="Q356" i="7"/>
  <c r="P357" i="7"/>
  <c r="P356" i="7"/>
  <c r="Q355" i="7"/>
  <c r="Q354" i="7"/>
  <c r="P355" i="7"/>
  <c r="P354" i="7"/>
  <c r="O355" i="7"/>
  <c r="O354" i="7"/>
  <c r="K354" i="7"/>
  <c r="K355" i="7"/>
  <c r="S355" i="7"/>
  <c r="S354" i="7"/>
  <c r="M376" i="7" l="1"/>
  <c r="M375" i="7"/>
  <c r="L375" i="7"/>
  <c r="M372" i="7"/>
  <c r="L372" i="7"/>
  <c r="L357" i="7"/>
  <c r="M369" i="7"/>
  <c r="L355" i="7"/>
  <c r="L369" i="7"/>
  <c r="L356" i="7"/>
  <c r="L368" i="7"/>
  <c r="L367" i="7"/>
  <c r="L366" i="7"/>
  <c r="L364" i="7"/>
  <c r="L365" i="7"/>
  <c r="L363" i="7"/>
  <c r="L362" i="7"/>
  <c r="L361" i="7"/>
  <c r="L354" i="7"/>
  <c r="M401" i="7"/>
  <c r="M389" i="7"/>
  <c r="M402" i="7"/>
  <c r="M390" i="7"/>
  <c r="M361" i="7"/>
  <c r="M373" i="7"/>
  <c r="L373" i="7" s="1"/>
  <c r="M396" i="7"/>
  <c r="M384" i="7"/>
  <c r="M360" i="7"/>
  <c r="L360" i="7" s="1"/>
  <c r="M409" i="7"/>
  <c r="M383" i="7"/>
  <c r="M397" i="7"/>
  <c r="M408" i="7"/>
  <c r="M395" i="7"/>
  <c r="M385" i="7"/>
  <c r="M407" i="7"/>
  <c r="M359" i="7"/>
  <c r="L359" i="7" s="1"/>
  <c r="M391" i="7"/>
  <c r="M379" i="7"/>
  <c r="M367" i="7"/>
  <c r="M403" i="7"/>
  <c r="M406" i="7"/>
  <c r="M394" i="7"/>
  <c r="M382" i="7"/>
  <c r="M358" i="7"/>
  <c r="L358" i="7" s="1"/>
  <c r="M405" i="7"/>
  <c r="M393" i="7"/>
  <c r="M381" i="7"/>
  <c r="M357" i="7"/>
  <c r="M404" i="7"/>
  <c r="M380" i="7"/>
  <c r="M356" i="7"/>
  <c r="M392" i="7"/>
  <c r="M368" i="7"/>
  <c r="M355" i="7"/>
  <c r="M378" i="7"/>
  <c r="M366" i="7"/>
  <c r="M354" i="7"/>
  <c r="M377" i="7"/>
  <c r="M365" i="7"/>
  <c r="M400" i="7"/>
  <c r="M388" i="7"/>
  <c r="M364" i="7"/>
  <c r="M399" i="7"/>
  <c r="M387" i="7"/>
  <c r="M363" i="7"/>
  <c r="M371" i="7"/>
  <c r="M398" i="7"/>
  <c r="M386" i="7"/>
  <c r="M374" i="7"/>
  <c r="L374" i="7" s="1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<sst xmlns="http://schemas.openxmlformats.org/spreadsheetml/2006/main" count="2623" uniqueCount="954">
  <si>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</si>
  <si>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</si>
  <si>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</si>
  <si>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</si>
  <si>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</si>
  <si>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</si>
  <si>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</si>
  <si>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</si>
  <si>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</si>
  <si>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</si>
  <si>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</si>
  <si>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</si>
  <si>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</si>
  <si>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</si>
  <si>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</si>
  <si>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</si>
  <si>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</si>
  <si>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</si>
  <si>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</si>
  <si>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</si>
  <si>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</si>
  <si>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</si>
  <si>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</si>
  <si>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</si>
  <si>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</si>
  <si>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</si>
  <si>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</si>
  <si>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</si>
  <si>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</si>
  <si>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</si>
  <si>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</si>
  <si>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</si>
  <si>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</si>
  <si>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</si>
  <si>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</si>
  <si>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</si>
  <si>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</si>
  <si>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</si>
  <si>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</si>
  <si>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</si>
  <si>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</si>
  <si>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</si>
  <si>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</si>
  <si>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</si>
  <si>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</si>
  <si>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</si>
  <si>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</si>
  <si>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</si>
  <si>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</si>
  <si>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</si>
  <si>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</si>
  <si>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</si>
  <si>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</si>
  <si>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</si>
  <si>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</si>
  <si>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</si>
  <si>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</si>
  <si>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</si>
  <si>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</si>
  <si>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</si>
  <si>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</si>
  <si>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</si>
  <si>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</si>
  <si>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</si>
  <si>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</si>
  <si>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</si>
  <si>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</si>
  <si>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</si>
  <si>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</si>
  <si>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</si>
  <si>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</si>
  <si>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</si>
  <si>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</si>
  <si>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</si>
  <si>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</si>
  <si>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</si>
  <si>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</si>
  <si>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</si>
  <si>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</si>
  <si>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</si>
  <si>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</si>
  <si>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</si>
  <si>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</si>
  <si>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</si>
  <si>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</si>
  <si>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</si>
  <si>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</si>
  <si>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</si>
  <si>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</si>
  <si>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</si>
  <si>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</si>
  <si>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</si>
  <si>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</si>
  <si>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</si>
  <si>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</si>
  <si>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</si>
  <si>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</si>
  <si>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</si>
  <si>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</si>
  <si>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</si>
  <si>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</si>
  <si>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</si>
  <si>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</si>
  <si>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</si>
  <si>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</si>
  <si>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</si>
  <si>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</si>
  <si>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</si>
  <si>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</si>
  <si>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</si>
  <si>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</si>
  <si>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</si>
  <si>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</si>
  <si>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</si>
  <si>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</si>
  <si>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</si>
  <si>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</si>
  <si>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</si>
  <si>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</si>
  <si>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</si>
  <si>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</si>
  <si>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</si>
  <si>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</si>
  <si>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</si>
  <si>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</si>
  <si>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</si>
  <si>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</si>
  <si>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</si>
  <si>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</si>
  <si>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</si>
  <si>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</si>
  <si>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</si>
  <si>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</si>
  <si>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</si>
  <si>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</si>
  <si>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</si>
  <si>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</si>
  <si>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</si>
  <si>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</si>
  <si>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</si>
  <si>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</si>
  <si>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</si>
  <si>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</si>
  <si>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</si>
  <si>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</si>
  <si>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</si>
  <si>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</si>
  <si>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</si>
  <si>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</si>
  <si>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</si>
  <si>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</si>
  <si>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</si>
  <si>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</si>
  <si>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</si>
  <si>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</si>
  <si>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</si>
  <si>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</si>
  <si>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</si>
  <si>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</si>
  <si>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</si>
  <si>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</si>
  <si>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</si>
  <si>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</si>
  <si>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</si>
  <si>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</si>
  <si>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</si>
  <si>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</si>
  <si>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</si>
  <si>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</si>
  <si>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</si>
  <si>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</si>
  <si>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</si>
  <si>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</si>
  <si>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</si>
  <si>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</si>
  <si>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</si>
  <si>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</si>
  <si>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</si>
  <si>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</si>
  <si>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</si>
  <si>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</si>
  <si>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</si>
  <si>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</si>
  <si>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</si>
  <si>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</si>
  <si>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</si>
  <si>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</si>
  <si>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</si>
  <si>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</si>
  <si>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</si>
  <si>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</si>
  <si>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</si>
  <si>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</si>
  <si>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</si>
  <si>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</si>
  <si>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</si>
  <si>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</si>
  <si>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</si>
  <si>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</si>
  <si>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</si>
  <si>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</si>
  <si>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</si>
  <si>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</si>
  <si>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</si>
  <si>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</si>
  <si>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</si>
  <si>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</si>
  <si>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</si>
  <si>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</si>
  <si>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</si>
  <si>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</si>
  <si>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</si>
  <si>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</si>
  <si>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</si>
  <si>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</si>
  <si>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</si>
  <si>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</si>
  <si>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</si>
  <si>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</si>
  <si>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</si>
  <si>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</si>
  <si>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</si>
  <si>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</si>
  <si>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</si>
  <si>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</si>
  <si>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</si>
  <si>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</si>
  <si>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</si>
  <si>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</si>
  <si>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</si>
  <si>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</si>
  <si>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</si>
  <si>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</si>
  <si>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</si>
  <si>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</si>
  <si>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</si>
  <si>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</si>
  <si>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</si>
  <si>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</si>
  <si>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</si>
  <si>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</si>
  <si>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</si>
  <si>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</si>
  <si>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</si>
  <si>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</si>
  <si>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</si>
  <si>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</si>
  <si>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</si>
  <si>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</si>
  <si>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</si>
  <si>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</si>
  <si>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</si>
  <si>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</si>
  <si>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</si>
  <si>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</si>
  <si>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</si>
  <si>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</si>
  <si>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</si>
  <si>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</si>
  <si>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</si>
  <si>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</si>
  <si>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</si>
  <si>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</si>
  <si>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</si>
  <si>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</si>
  <si>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</si>
  <si>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</si>
  <si>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</si>
  <si>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</si>
  <si>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</si>
  <si>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</si>
  <si>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</si>
  <si>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</si>
  <si>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</si>
  <si>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</si>
  <si>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</si>
  <si>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</si>
  <si>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</si>
  <si>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</si>
  <si>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</si>
  <si>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</si>
  <si>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</si>
  <si>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</si>
  <si>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</si>
  <si>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</si>
  <si>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</si>
  <si>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</si>
  <si>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</si>
  <si>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</si>
  <si>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</si>
  <si>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</si>
  <si>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</si>
  <si>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</si>
  <si>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</si>
  <si>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</si>
  <si>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</si>
  <si>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</si>
  <si>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</si>
  <si>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</si>
  <si>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</si>
  <si>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</si>
  <si>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</si>
  <si>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</si>
  <si>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</si>
  <si>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</si>
  <si>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</si>
  <si>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</si>
  <si>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</si>
  <si>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</si>
  <si>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</si>
  <si>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</si>
  <si>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</si>
  <si>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</si>
  <si>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</si>
  <si>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</si>
  <si>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</si>
  <si>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</si>
  <si>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</si>
  <si>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</si>
  <si>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</si>
  <si>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</si>
  <si>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</si>
  <si>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</si>
  <si>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</si>
  <si>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</si>
  <si>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</si>
  <si>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</si>
  <si>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</si>
  <si>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</si>
  <si>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</si>
  <si>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</si>
  <si>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</si>
  <si>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</si>
  <si>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</si>
  <si>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</si>
  <si>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</si>
  <si>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</si>
  <si>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</si>
  <si>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</si>
  <si>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</si>
  <si>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</si>
  <si>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</si>
  <si>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</si>
  <si>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</si>
  <si>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</si>
  <si>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</si>
  <si>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</si>
  <si>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</si>
  <si>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</si>
  <si>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</si>
  <si>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</si>
  <si>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</si>
  <si>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</si>
  <si>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</si>
  <si>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</si>
  <si>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</si>
  <si>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</si>
  <si>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</si>
  <si>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</si>
  <si>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</si>
  <si>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</si>
  <si>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</si>
  <si>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</si>
  <si>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</si>
  <si>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</si>
  <si>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</si>
  <si>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</si>
  <si>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</si>
  <si>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</si>
  <si>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</si>
  <si>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</si>
  <si>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</si>
  <si>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</si>
  <si>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</si>
  <si>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</si>
  <si>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</si>
  <si>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</si>
  <si>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</si>
  <si>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</si>
  <si>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</si>
  <si>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</si>
  <si>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</si>
  <si>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</si>
  <si>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</si>
  <si>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</si>
  <si>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</si>
  <si>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</si>
  <si>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</si>
  <si>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</si>
  <si>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</si>
  <si>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</si>
  <si>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</si>
  <si>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</si>
  <si>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</si>
  <si>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</si>
  <si>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</si>
  <si>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</si>
  <si>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</si>
  <si>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</si>
  <si>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</si>
  <si>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</si>
  <si>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</si>
  <si>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</si>
  <si>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</si>
  <si>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</si>
  <si>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</si>
  <si>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</si>
  <si>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</si>
  <si>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</si>
  <si>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</si>
  <si>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</si>
  <si>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</si>
  <si>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</si>
  <si>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</si>
  <si>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</si>
  <si>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</si>
  <si>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</si>
  <si>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</si>
  <si>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</si>
  <si>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</si>
  <si>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</si>
  <si>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</si>
  <si>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</si>
  <si>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</si>
  <si>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</si>
  <si>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</si>
  <si>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</si>
  <si>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</si>
  <si>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</si>
  <si>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</si>
  <si>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</si>
  <si>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</si>
  <si>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</si>
  <si>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</si>
  <si>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</si>
  <si>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</si>
  <si>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</si>
  <si>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</si>
  <si>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</si>
  <si>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</si>
  <si>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</si>
  <si>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</si>
  <si>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</si>
  <si>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</si>
  <si>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</si>
  <si>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</si>
  <si>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</si>
  <si>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</si>
  <si>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</si>
  <si>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</si>
  <si>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</si>
  <si>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</si>
  <si>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</si>
  <si>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</si>
  <si>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</si>
  <si>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</si>
  <si>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</si>
  <si>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</si>
  <si>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</si>
  <si>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</si>
  <si>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</si>
  <si>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</si>
  <si>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</si>
  <si>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</si>
  <si>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</si>
  <si>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</si>
  <si>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</si>
  <si>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</si>
  <si>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</si>
  <si>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</si>
  <si>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</si>
  <si>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</si>
  <si>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</si>
  <si>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</si>
  <si>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</si>
  <si>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</si>
  <si>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</si>
  <si>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</si>
  <si>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</si>
  <si>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</si>
  <si>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</si>
  <si>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</si>
  <si>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</si>
  <si>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</si>
  <si>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</si>
  <si>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</si>
  <si>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</si>
  <si>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</si>
  <si>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</si>
  <si>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</si>
  <si>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</si>
  <si>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</si>
  <si>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</si>
  <si>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</si>
  <si>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</si>
  <si>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</si>
  <si>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</si>
  <si>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</si>
  <si>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</si>
  <si>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</si>
  <si>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</si>
  <si>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</si>
  <si>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</si>
  <si>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</si>
  <si>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</si>
  <si>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</si>
  <si>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</si>
  <si>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</si>
  <si>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</si>
  <si>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</si>
  <si>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</si>
  <si>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</si>
  <si>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</si>
  <si>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</si>
  <si>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</si>
  <si>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</si>
  <si>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</si>
  <si>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</si>
  <si>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</si>
  <si>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</si>
  <si>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</si>
  <si>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</si>
  <si>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</si>
  <si>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</si>
  <si>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</si>
  <si>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</si>
  <si>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</si>
  <si>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</si>
  <si>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</si>
  <si>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</si>
  <si>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</si>
  <si>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</si>
  <si>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</si>
  <si>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</si>
  <si>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</si>
  <si>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</si>
  <si>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</si>
  <si>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</si>
  <si>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</si>
  <si>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</si>
  <si>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</si>
  <si>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</si>
  <si>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</si>
  <si>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</si>
  <si>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</si>
  <si>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</si>
  <si>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</si>
  <si>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</si>
  <si>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</si>
  <si>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</si>
  <si>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</si>
  <si>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</si>
  <si>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</si>
  <si>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</si>
  <si>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</si>
  <si>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</si>
  <si>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</si>
  <si>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</si>
  <si>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</si>
  <si>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</si>
  <si>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</si>
  <si>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</si>
  <si>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</si>
  <si>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</si>
  <si>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</si>
  <si>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</si>
  <si>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</si>
  <si>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</si>
  <si>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</si>
  <si>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</si>
  <si>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</si>
  <si>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</si>
  <si>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</si>
  <si>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</si>
  <si>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</si>
  <si>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</si>
  <si>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</si>
  <si>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</si>
  <si>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</si>
  <si>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</si>
  <si>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</si>
  <si>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</si>
  <si>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</si>
  <si>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</si>
  <si>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</si>
  <si>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</si>
  <si>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</si>
  <si>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</si>
  <si>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</si>
  <si>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</si>
  <si>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</si>
  <si>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</si>
  <si>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</si>
  <si>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</si>
  <si>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</si>
  <si>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</si>
  <si>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</si>
  <si>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</si>
  <si>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</si>
  <si>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</si>
  <si>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</si>
  <si>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</si>
  <si>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</si>
  <si>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</si>
  <si>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</si>
  <si>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</si>
  <si>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</si>
  <si>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</si>
  <si>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</si>
  <si>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</si>
  <si>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</si>
  <si>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</si>
  <si>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</si>
  <si>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</si>
  <si>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</si>
  <si>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</si>
  <si>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</si>
  <si>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</si>
  <si>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</si>
  <si>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</si>
  <si>
    <t>project</t>
  </si>
  <si>
    <t>export</t>
  </si>
  <si>
    <t>none</t>
  </si>
  <si>
    <t>https://docs.looker.com/reference/manifest-params/constant?version=7.14&amp;lookml=new#using_export_in_imported_projects</t>
  </si>
  <si>
    <t>["none", "override_required", "override_optional"]</t>
  </si>
  <si>
    <t>https://docs.looker.com/reference/manifest-params/visualization?version=7.18&amp;lookml=new</t>
  </si>
  <si>
    <t>https://docs.looker.com/reference/field-params/parameter?version=7.14&amp;lookml=new#specifying_allowed_values</t>
  </si>
  <si>
    <t>https://docs.looker.com/reference/explore-params/always_filter?version=7.14&amp;lookml=new</t>
  </si>
  <si>
    <t>https://docs.looker.com/reference/explore-params/access_filter?version=7.14&amp;lookml=new</t>
  </si>
  <si>
    <t>default_locale</t>
  </si>
  <si>
    <t>localization_level</t>
  </si>
  <si>
    <t>https://docs.looker.com/reference/manifest-params/localization_settings?version=7.14&amp;lookml=new</t>
  </si>
  <si>
    <t>permissive</t>
  </si>
  <si>
    <t>["permissive","strict"]</t>
  </si>
  <si>
    <t>en_GB</t>
  </si>
  <si>
    <t>ar_AE</t>
  </si>
  <si>
    <t>ar_JO</t>
  </si>
  <si>
    <t>ar_SY</t>
  </si>
  <si>
    <t>hr_HR</t>
  </si>
  <si>
    <t>fr_BE</t>
  </si>
  <si>
    <t>es_PA</t>
  </si>
  <si>
    <t>mt_MT</t>
  </si>
  <si>
    <t>es_VE</t>
  </si>
  <si>
    <t>bg</t>
  </si>
  <si>
    <t>zh_TW</t>
  </si>
  <si>
    <t>it</t>
  </si>
  <si>
    <t>uk</t>
  </si>
  <si>
    <t>lv</t>
  </si>
  <si>
    <t>da_DK</t>
  </si>
  <si>
    <t>es_PR</t>
  </si>
  <si>
    <t>vi_VN</t>
  </si>
  <si>
    <t>en_US</t>
  </si>
  <si>
    <t>sr_ME</t>
  </si>
  <si>
    <t>sv_SE</t>
  </si>
  <si>
    <t>es_BO</t>
  </si>
  <si>
    <t>en_SG</t>
  </si>
  <si>
    <t>ar_BH</t>
  </si>
  <si>
    <t>pt</t>
  </si>
  <si>
    <t>ar_SA</t>
  </si>
  <si>
    <t>sk</t>
  </si>
  <si>
    <t>ar_YE</t>
  </si>
  <si>
    <t>hi_IN</t>
  </si>
  <si>
    <t>ga</t>
  </si>
  <si>
    <t>en_MT</t>
  </si>
  <si>
    <t>fi_FI</t>
  </si>
  <si>
    <t>et</t>
  </si>
  <si>
    <t>sv</t>
  </si>
  <si>
    <t>cs</t>
  </si>
  <si>
    <t>sr_BA_#Latn</t>
  </si>
  <si>
    <t>el</t>
  </si>
  <si>
    <t>uk_UA</t>
  </si>
  <si>
    <t>hu</t>
  </si>
  <si>
    <t>fr_CH</t>
  </si>
  <si>
    <t>in</t>
  </si>
  <si>
    <t>es_AR</t>
  </si>
  <si>
    <t>ar_EG</t>
  </si>
  <si>
    <t>ja_JP_JP_#u-ca-japanese</t>
  </si>
  <si>
    <t>es_SV</t>
  </si>
  <si>
    <t>pt_BR</t>
  </si>
  <si>
    <t>be</t>
  </si>
  <si>
    <t>is_IS</t>
  </si>
  <si>
    <t>cs_CZ</t>
  </si>
  <si>
    <t>es</t>
  </si>
  <si>
    <t>pl_PL</t>
  </si>
  <si>
    <t>tr</t>
  </si>
  <si>
    <t>ca_ES</t>
  </si>
  <si>
    <t>sr_CS</t>
  </si>
  <si>
    <t>ms_MY</t>
  </si>
  <si>
    <t>hr</t>
  </si>
  <si>
    <t>lt</t>
  </si>
  <si>
    <t>es_ES</t>
  </si>
  <si>
    <t>es_CO</t>
  </si>
  <si>
    <t>bg_BG</t>
  </si>
  <si>
    <t>sq</t>
  </si>
  <si>
    <t>fr</t>
  </si>
  <si>
    <t>ja</t>
  </si>
  <si>
    <t>sr_BA</t>
  </si>
  <si>
    <t>is</t>
  </si>
  <si>
    <t>es_PY</t>
  </si>
  <si>
    <t>de</t>
  </si>
  <si>
    <t>es_EC</t>
  </si>
  <si>
    <t>es_US</t>
  </si>
  <si>
    <t>ar_SD</t>
  </si>
  <si>
    <t>en</t>
  </si>
  <si>
    <t>en_PH</t>
  </si>
  <si>
    <t>ca</t>
  </si>
  <si>
    <t>ar_TN</t>
  </si>
  <si>
    <t>sr_ME_#Latn</t>
  </si>
  <si>
    <t>es_GT</t>
  </si>
  <si>
    <t>sl</t>
  </si>
  <si>
    <t>el_CY</t>
  </si>
  <si>
    <t>es_MX</t>
  </si>
  <si>
    <t>ru_RU</t>
  </si>
  <si>
    <t>es_HN</t>
  </si>
  <si>
    <t>zh_HK</t>
  </si>
  <si>
    <t>hu_HU</t>
  </si>
  <si>
    <t>th_TH</t>
  </si>
  <si>
    <t>ar_IQ</t>
  </si>
  <si>
    <t>es_CL</t>
  </si>
  <si>
    <t>fi</t>
  </si>
  <si>
    <t>ar_MA</t>
  </si>
  <si>
    <t>ga_IE</t>
  </si>
  <si>
    <t>mk</t>
  </si>
  <si>
    <t>tr_TR</t>
  </si>
  <si>
    <t>et_EE</t>
  </si>
  <si>
    <t>ar_QA</t>
  </si>
  <si>
    <t>sr__#Latn</t>
  </si>
  <si>
    <t>pt_PT</t>
  </si>
  <si>
    <t>fr_LU</t>
  </si>
  <si>
    <t>ar_OM</t>
  </si>
  <si>
    <t>th</t>
  </si>
  <si>
    <t>sq_AL</t>
  </si>
  <si>
    <t>es_DO</t>
  </si>
  <si>
    <t>es_CU</t>
  </si>
  <si>
    <t>ar</t>
  </si>
  <si>
    <t>ru</t>
  </si>
  <si>
    <t>en_NZ</t>
  </si>
  <si>
    <t>sr_RS</t>
  </si>
  <si>
    <t>de_CH</t>
  </si>
  <si>
    <t>es_UY</t>
  </si>
  <si>
    <t>ms</t>
  </si>
  <si>
    <t>el_GR</t>
  </si>
  <si>
    <t>iw_IL</t>
  </si>
  <si>
    <t>en_ZA</t>
  </si>
  <si>
    <t>th_TH_TH_#u-nu-thai</t>
  </si>
  <si>
    <t>hi</t>
  </si>
  <si>
    <t>fr_FR</t>
  </si>
  <si>
    <t>de_AT</t>
  </si>
  <si>
    <t>nl</t>
  </si>
  <si>
    <t>en_AU</t>
  </si>
  <si>
    <t>vi</t>
  </si>
  <si>
    <t>nl_NL</t>
  </si>
  <si>
    <t>fr_CA</t>
  </si>
  <si>
    <t>lv_LV</t>
  </si>
  <si>
    <t>de_LU</t>
  </si>
  <si>
    <t>es_CR</t>
  </si>
  <si>
    <t>ar_KW</t>
  </si>
  <si>
    <t>sr</t>
  </si>
  <si>
    <t>ar_LY</t>
  </si>
  <si>
    <t>mt</t>
  </si>
  <si>
    <t>it_CH</t>
  </si>
  <si>
    <t>da</t>
  </si>
  <si>
    <t>de_DE</t>
  </si>
  <si>
    <t>ar_DZ</t>
  </si>
  <si>
    <t>sk_SK</t>
  </si>
  <si>
    <t>lt_LT</t>
  </si>
  <si>
    <t>it_IT</t>
  </si>
  <si>
    <t>en_IE</t>
  </si>
  <si>
    <t>zh_SG</t>
  </si>
  <si>
    <t>en_CA</t>
  </si>
  <si>
    <t>nl_BE</t>
  </si>
  <si>
    <t>pl</t>
  </si>
  <si>
    <t>zh_CN</t>
  </si>
  <si>
    <t>ja_JP</t>
  </si>
  <si>
    <t>de_GR</t>
  </si>
  <si>
    <t>sr_RS_#Latn</t>
  </si>
  <si>
    <t>iw</t>
  </si>
  <si>
    <t>en_IN</t>
  </si>
  <si>
    <t>ar_LB</t>
  </si>
  <si>
    <t>es_NI</t>
  </si>
  <si>
    <t>zh</t>
  </si>
  <si>
    <t>mk_MK</t>
  </si>
  <si>
    <t>be_BY</t>
  </si>
  <si>
    <t>sl_SI</t>
  </si>
  <si>
    <t>es_PE</t>
  </si>
  <si>
    <t>in_ID</t>
  </si>
  <si>
    <t>ko</t>
  </si>
  <si>
    <t>ro_RO</t>
  </si>
  <si>
    <t>ko_KR</t>
  </si>
  <si>
    <t>no_NO_NY</t>
  </si>
  <si>
    <t>no_NO</t>
  </si>
  <si>
    <t>ro</t>
  </si>
  <si>
    <t>'ar_AE',</t>
  </si>
  <si>
    <t>'ar_JO',</t>
  </si>
  <si>
    <t>'ar_SY',</t>
  </si>
  <si>
    <t>'hr_HR',</t>
  </si>
  <si>
    <t>'fr_BE',</t>
  </si>
  <si>
    <t>'es_PA',</t>
  </si>
  <si>
    <t>'mt_MT',</t>
  </si>
  <si>
    <t>'es_VE',</t>
  </si>
  <si>
    <t>'bg',</t>
  </si>
  <si>
    <t>'zh_TW',</t>
  </si>
  <si>
    <t>'it',</t>
  </si>
  <si>
    <t>'ko',</t>
  </si>
  <si>
    <t>'uk',</t>
  </si>
  <si>
    <t>'lv',</t>
  </si>
  <si>
    <t>'da_DK',</t>
  </si>
  <si>
    <t>'es_PR',</t>
  </si>
  <si>
    <t>'vi_VN',</t>
  </si>
  <si>
    <t>'en_US',</t>
  </si>
  <si>
    <t>'sr_ME',</t>
  </si>
  <si>
    <t>'sv_SE',</t>
  </si>
  <si>
    <t>'es_BO',</t>
  </si>
  <si>
    <t>'en_SG',</t>
  </si>
  <si>
    <t>'ar_BH',</t>
  </si>
  <si>
    <t>'pt',</t>
  </si>
  <si>
    <t>'ar_SA',</t>
  </si>
  <si>
    <t>'sk',</t>
  </si>
  <si>
    <t>'ar_YE',</t>
  </si>
  <si>
    <t>'hi_IN',</t>
  </si>
  <si>
    <t>'ga',</t>
  </si>
  <si>
    <t>'en_MT',</t>
  </si>
  <si>
    <t>'fi_FI',</t>
  </si>
  <si>
    <t>'et',</t>
  </si>
  <si>
    <t>'sv',</t>
  </si>
  <si>
    <t>'cs',</t>
  </si>
  <si>
    <t>'sr_BA_#Latn',</t>
  </si>
  <si>
    <t>'el',</t>
  </si>
  <si>
    <t>'uk_UA',</t>
  </si>
  <si>
    <t>'hu',</t>
  </si>
  <si>
    <t>'fr_CH',</t>
  </si>
  <si>
    <t>'in',</t>
  </si>
  <si>
    <t>'es_AR',</t>
  </si>
  <si>
    <t>'ar_EG',</t>
  </si>
  <si>
    <t>'ja_JP_JP_#u-ca-japanese',</t>
  </si>
  <si>
    <t>'es_SV',</t>
  </si>
  <si>
    <t>'pt_BR',</t>
  </si>
  <si>
    <t>'be',</t>
  </si>
  <si>
    <t>'is_IS',</t>
  </si>
  <si>
    <t>'cs_CZ',</t>
  </si>
  <si>
    <t>'es',</t>
  </si>
  <si>
    <t>'pl_PL',</t>
  </si>
  <si>
    <t>'tr',</t>
  </si>
  <si>
    <t>'ca_ES',</t>
  </si>
  <si>
    <t>'sr_CS',</t>
  </si>
  <si>
    <t>'ms_MY',</t>
  </si>
  <si>
    <t>'hr',</t>
  </si>
  <si>
    <t>'lt',</t>
  </si>
  <si>
    <t>'es_ES',</t>
  </si>
  <si>
    <t>'es_CO',</t>
  </si>
  <si>
    <t>'bg_BG',</t>
  </si>
  <si>
    <t>'sq',</t>
  </si>
  <si>
    <t>'fr',</t>
  </si>
  <si>
    <t>'ja',</t>
  </si>
  <si>
    <t>'sr_BA',</t>
  </si>
  <si>
    <t>'is',</t>
  </si>
  <si>
    <t>'es_PY',</t>
  </si>
  <si>
    <t>'de',</t>
  </si>
  <si>
    <t>'es_EC',</t>
  </si>
  <si>
    <t>'es_US',</t>
  </si>
  <si>
    <t>'ar_SD',</t>
  </si>
  <si>
    <t>'en',</t>
  </si>
  <si>
    <t>'ro_RO',</t>
  </si>
  <si>
    <t>'en_PH',</t>
  </si>
  <si>
    <t>'ca',</t>
  </si>
  <si>
    <t>'ar_TN',</t>
  </si>
  <si>
    <t>'sr_ME_#Latn',</t>
  </si>
  <si>
    <t>'es_GT',</t>
  </si>
  <si>
    <t>'sl',</t>
  </si>
  <si>
    <t>'ko_KR',</t>
  </si>
  <si>
    <t>'el_CY',</t>
  </si>
  <si>
    <t>'es_MX',</t>
  </si>
  <si>
    <t>'ru_RU',</t>
  </si>
  <si>
    <t>'es_HN',</t>
  </si>
  <si>
    <t>'zh_HK',</t>
  </si>
  <si>
    <t>'no_NO_NY',</t>
  </si>
  <si>
    <t>'hu_HU',</t>
  </si>
  <si>
    <t>'th_TH',</t>
  </si>
  <si>
    <t>'ar_IQ',</t>
  </si>
  <si>
    <t>'es_CL',</t>
  </si>
  <si>
    <t>'fi',</t>
  </si>
  <si>
    <t>'ar_MA',</t>
  </si>
  <si>
    <t>'ga_IE',</t>
  </si>
  <si>
    <t>'mk',</t>
  </si>
  <si>
    <t>'tr_TR',</t>
  </si>
  <si>
    <t>'et_EE',</t>
  </si>
  <si>
    <t>'ar_QA',</t>
  </si>
  <si>
    <t>'sr__#Latn',</t>
  </si>
  <si>
    <t>'pt_PT',</t>
  </si>
  <si>
    <t>'fr_LU',</t>
  </si>
  <si>
    <t>'ar_OM',</t>
  </si>
  <si>
    <t>'th',</t>
  </si>
  <si>
    <t>'sq_AL',</t>
  </si>
  <si>
    <t>'es_DO',</t>
  </si>
  <si>
    <t>'es_CU',</t>
  </si>
  <si>
    <t>'ar',</t>
  </si>
  <si>
    <t>'ru',</t>
  </si>
  <si>
    <t>'en_NZ',</t>
  </si>
  <si>
    <t>'sr_RS',</t>
  </si>
  <si>
    <t>'de_CH',</t>
  </si>
  <si>
    <t>'es_UY',</t>
  </si>
  <si>
    <t>'ms',</t>
  </si>
  <si>
    <t>'el_GR',</t>
  </si>
  <si>
    <t>'iw_IL',</t>
  </si>
  <si>
    <t>'en_ZA',</t>
  </si>
  <si>
    <t>'th_TH_TH_#u-nu-thai',</t>
  </si>
  <si>
    <t>'hi',</t>
  </si>
  <si>
    <t>'fr_FR',</t>
  </si>
  <si>
    <t>'de_AT',</t>
  </si>
  <si>
    <t>'nl',</t>
  </si>
  <si>
    <t>'no_NO',</t>
  </si>
  <si>
    <t>'en_AU',</t>
  </si>
  <si>
    <t>'vi',</t>
  </si>
  <si>
    <t>'nl_NL',</t>
  </si>
  <si>
    <t>'fr_CA',</t>
  </si>
  <si>
    <t>'lv_LV',</t>
  </si>
  <si>
    <t>'de_LU',</t>
  </si>
  <si>
    <t>'es_CR',</t>
  </si>
  <si>
    <t>'ar_KW',</t>
  </si>
  <si>
    <t>'sr',</t>
  </si>
  <si>
    <t>'ar_LY',</t>
  </si>
  <si>
    <t>'mt',</t>
  </si>
  <si>
    <t>'it_CH',</t>
  </si>
  <si>
    <t>'da',</t>
  </si>
  <si>
    <t>'de_DE',</t>
  </si>
  <si>
    <t>'ar_DZ',</t>
  </si>
  <si>
    <t>'sk_SK',</t>
  </si>
  <si>
    <t>'lt_LT',</t>
  </si>
  <si>
    <t>'it_IT',</t>
  </si>
  <si>
    <t>'en_IE',</t>
  </si>
  <si>
    <t>'zh_SG',</t>
  </si>
  <si>
    <t>'ro',</t>
  </si>
  <si>
    <t>'en_CA',</t>
  </si>
  <si>
    <t>'nl_BE',</t>
  </si>
  <si>
    <t>'no',</t>
  </si>
  <si>
    <t>'pl',</t>
  </si>
  <si>
    <t>'zh_CN',</t>
  </si>
  <si>
    <t>'ja_JP',</t>
  </si>
  <si>
    <t>'de_GR',</t>
  </si>
  <si>
    <t>'sr_RS_#Latn',</t>
  </si>
  <si>
    <t>'iw',</t>
  </si>
  <si>
    <t>'en_IN',</t>
  </si>
  <si>
    <t>'ar_LB',</t>
  </si>
  <si>
    <t>'es_NI',</t>
  </si>
  <si>
    <t>'zh',</t>
  </si>
  <si>
    <t>'mk_MK',</t>
  </si>
  <si>
    <t>'be_BY',</t>
  </si>
  <si>
    <t>'sl_SI',</t>
  </si>
  <si>
    <t>'es_PE',</t>
  </si>
  <si>
    <t>'in_ID',</t>
  </si>
  <si>
    <t>'en_GB'</t>
  </si>
  <si>
    <t>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}</t>
  </si>
  <si>
    <t>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</t>
  </si>
  <si>
    <t xml:space="preserve">Not documented as child of explore, see https://docs.looker.com/reference/explore-params/aggregate_table?version=7.14&amp;lookml=new#query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</si>
</sst>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Courier New"/>
      <family val="1"/>
    </font>
    <font>
      <u/>
      <sz val="12"/>
      <color rgb="FF00418C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1" fillId="0" borderId="0" xfId="0" applyFont="1" applyAlignment="1"/>
    <xf numFmtId="0" fontId="10" fillId="0" borderId="0" xfId="0" applyFont="1" applyAlignment="1"/>
    <xf numFmtId="0" fontId="0" fillId="0" borderId="1" xfId="0" applyFont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366" Type="http://schemas.openxmlformats.org/officeDocument/2006/relationships/hyperlink" Target="https://docs.looker.com/reference/explore-params/always_filter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368" Type="http://schemas.openxmlformats.org/officeDocument/2006/relationships/hyperlink" Target="https://docs.looker.com/reference/explore-params/access_filter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359" Type="http://schemas.openxmlformats.org/officeDocument/2006/relationships/hyperlink" Target="https://looker.com/docs/r/lookml/types/manifest/local_dependency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370" Type="http://schemas.openxmlformats.org/officeDocument/2006/relationships/hyperlink" Target="https://docs.looker.com/reference/manifest-params/localization_settings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371" Type="http://schemas.openxmlformats.org/officeDocument/2006/relationships/hyperlink" Target="https://looker.com/docs/r/lookml/types/aggregate_table/query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361" Type="http://schemas.openxmlformats.org/officeDocument/2006/relationships/hyperlink" Target="https://docs.looker.com/reference/manifest-params/visualization?version=7.18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362" Type="http://schemas.openxmlformats.org/officeDocument/2006/relationships/hyperlink" Target="https://docs.looker.com/reference/manifest-params/constant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363" Type="http://schemas.openxmlformats.org/officeDocument/2006/relationships/hyperlink" Target="https://looker.com/docs/r/lookml/types/parameter/allowed_value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364" Type="http://schemas.openxmlformats.org/officeDocument/2006/relationships/hyperlink" Target="https://docs.looker.com/reference/field-params/parameter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365" Type="http://schemas.openxmlformats.org/officeDocument/2006/relationships/hyperlink" Target="https://docs.looker.com/reference/field-params/parameter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367" Type="http://schemas.openxmlformats.org/officeDocument/2006/relationships/hyperlink" Target="https://docs.looker.com/reference/explore-params/access_filter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358" Type="http://schemas.openxmlformats.org/officeDocument/2006/relationships/hyperlink" Target="https://looker.com/docs/r/lookml/types/manifest/remote_dependency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369" Type="http://schemas.openxmlformats.org/officeDocument/2006/relationships/hyperlink" Target="https://docs.looker.com/reference/manifest-params/localization_settings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360" Type="http://schemas.openxmlformats.org/officeDocument/2006/relationships/hyperlink" Target="https://docs.looker.com/reference/manifest-params/constant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>
    <outlinePr summaryBelow="0" summaryRight="0"/>
  </sheetPr>
  <dimension ref="A1:T410"/>
  <sheetViews>
    <sheetView tabSelected="1" zoomScaleNormal="130" workbookViewId="0">
      <pane ySplit="1" topLeftCell="A2" activePane="bottomLeft" state="frozen"/>
      <selection pane="bottomLeft" activeCell="G375" sqref="G375"/>
    </sheetView>
  </sheetViews>
  <sheetFormatPr baseColWidth="10" defaultColWidth="14.5" defaultRowHeight="15" customHeight="1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77.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>
      <c r="A1" s="2" t="s">
        <v>122</v>
      </c>
      <c r="B1" s="2" t="s">
        <v>116</v>
      </c>
      <c r="C1" s="2" t="s">
        <v>117</v>
      </c>
      <c r="D1" s="2" t="s">
        <v>612</v>
      </c>
      <c r="E1" s="2" t="s">
        <v>534</v>
      </c>
      <c r="F1" s="2" t="s">
        <v>608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604</v>
      </c>
      <c r="L1" s="2" t="s">
        <v>605</v>
      </c>
    </row>
    <row r="2" spans="1:20" ht="15" customHeight="1">
      <c r="A2" s="7">
        <v>1</v>
      </c>
      <c r="B2" s="6" t="s">
        <v>473</v>
      </c>
      <c r="C2" s="6" t="s">
        <v>111</v>
      </c>
      <c r="D2" s="4" t="s">
        <v>95</v>
      </c>
      <c r="E2" s="4" t="s">
        <v>591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s="14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customHeight="1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603</v>
      </c>
      <c r="H3" s="4" t="s">
        <v>138</v>
      </c>
      <c r="I3" s="4" t="b">
        <v>0</v>
      </c>
      <c r="K3" s="4" t="b">
        <f>IF(COUNTIF($B$2:$B3,B3)&gt;1,TRUE,FALSE)</f>
        <v>0</v>
      </c>
      <c r="L3" s="14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customHeight="1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590</v>
      </c>
      <c r="H4" s="4" t="s">
        <v>139</v>
      </c>
      <c r="I4" s="4" t="b">
        <v>0</v>
      </c>
      <c r="K4" s="4" t="b">
        <f>IF(COUNTIF($B$2:$B4,B4)&gt;1,TRUE,FALSE)</f>
        <v>0</v>
      </c>
      <c r="L4" s="1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customHeight="1">
      <c r="A5" s="7">
        <v>4</v>
      </c>
      <c r="B5" s="6" t="s">
        <v>134</v>
      </c>
      <c r="C5" s="6" t="s">
        <v>111</v>
      </c>
      <c r="D5" s="4" t="s">
        <v>95</v>
      </c>
      <c r="E5" s="4" t="s">
        <v>591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s="14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customHeight="1">
      <c r="A6" s="7">
        <v>5</v>
      </c>
      <c r="B6" s="6" t="s">
        <v>89</v>
      </c>
      <c r="C6" s="6" t="s">
        <v>111</v>
      </c>
      <c r="D6" s="4" t="s">
        <v>95</v>
      </c>
      <c r="E6" s="4" t="s">
        <v>591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s="14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customHeight="1">
      <c r="A7" s="7">
        <v>6</v>
      </c>
      <c r="B7" s="6" t="s">
        <v>475</v>
      </c>
      <c r="C7" s="6" t="s">
        <v>111</v>
      </c>
      <c r="D7" s="4" t="s">
        <v>62</v>
      </c>
      <c r="E7" s="4" t="s">
        <v>597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s="14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customHeight="1">
      <c r="A8" s="7">
        <v>7</v>
      </c>
      <c r="B8" s="6" t="s">
        <v>476</v>
      </c>
      <c r="C8" s="6" t="s">
        <v>111</v>
      </c>
      <c r="D8" s="4" t="s">
        <v>0</v>
      </c>
      <c r="E8" s="4" t="s">
        <v>476</v>
      </c>
      <c r="F8" s="4">
        <v>0</v>
      </c>
      <c r="G8" s="4" t="s">
        <v>590</v>
      </c>
      <c r="H8" s="4" t="s">
        <v>143</v>
      </c>
      <c r="I8" s="4" t="b">
        <v>0</v>
      </c>
      <c r="K8" s="4" t="b">
        <f>IF(COUNTIF($B$2:$B8,B8)&gt;1,TRUE,FALSE)</f>
        <v>0</v>
      </c>
      <c r="L8" s="14" t="str">
        <f t="shared" si="0"/>
        <v>p.update({"include":{"model":{"type":"include","subtype":"string","indent":0,"default_value":"","docs_url":"https://looker.com/docs/r/lookml/types/model/include?version=7.14&amp;lookml=new","has_allowed_values":False,"allowed_values":""}}})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{"include":{"model":{"type":"include","subtype":"string","indent":0,"default_value":"","docs_url":"https://looker.com/docs/r/lookml/types/model/include?version=7.14&amp;lookml=new","has_allowed_values":False,"allowed_values":""}}}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"type":"include",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customHeight="1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590</v>
      </c>
      <c r="H9" s="4" t="s">
        <v>144</v>
      </c>
      <c r="I9" s="4" t="b">
        <v>0</v>
      </c>
      <c r="K9" s="4" t="b">
        <f>IF(COUNTIF($B$2:$B9,B9)&gt;1,TRUE,FALSE)</f>
        <v>0</v>
      </c>
      <c r="L9" s="14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customHeight="1">
      <c r="A10" s="7">
        <v>9</v>
      </c>
      <c r="B10" s="6" t="s">
        <v>132</v>
      </c>
      <c r="C10" s="6" t="s">
        <v>111</v>
      </c>
      <c r="D10" s="4" t="s">
        <v>95</v>
      </c>
      <c r="E10" s="4" t="s">
        <v>591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s="14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customHeight="1">
      <c r="A11" s="7">
        <v>10</v>
      </c>
      <c r="B11" s="6" t="s">
        <v>135</v>
      </c>
      <c r="C11" s="6" t="s">
        <v>111</v>
      </c>
      <c r="D11" s="4" t="s">
        <v>95</v>
      </c>
      <c r="E11" s="4" t="s">
        <v>591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s="14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customHeight="1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590</v>
      </c>
      <c r="H12" s="4" t="s">
        <v>147</v>
      </c>
      <c r="I12" s="4" t="b">
        <v>0</v>
      </c>
      <c r="K12" s="4" t="b">
        <f>IF(COUNTIF($B$2:$B12,B12)&gt;1,TRUE,FALSE)</f>
        <v>0</v>
      </c>
      <c r="L12" s="14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customHeight="1">
      <c r="A13" s="7">
        <v>12</v>
      </c>
      <c r="B13" s="6" t="s">
        <v>97</v>
      </c>
      <c r="C13" s="6" t="s">
        <v>111</v>
      </c>
      <c r="D13" s="4" t="s">
        <v>68</v>
      </c>
      <c r="E13" s="4" t="s">
        <v>597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s="14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customHeight="1">
      <c r="A14" s="7">
        <v>13</v>
      </c>
      <c r="B14" s="6" t="s">
        <v>133</v>
      </c>
      <c r="C14" s="6" t="s">
        <v>111</v>
      </c>
      <c r="D14" s="4" t="s">
        <v>95</v>
      </c>
      <c r="E14" s="4" t="s">
        <v>591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s="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customHeight="1">
      <c r="A15" s="7">
        <v>14</v>
      </c>
      <c r="B15" s="6" t="s">
        <v>110</v>
      </c>
      <c r="C15" s="6" t="s">
        <v>111</v>
      </c>
      <c r="D15" s="4" t="s">
        <v>95</v>
      </c>
      <c r="E15" s="4" t="s">
        <v>591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s="14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customHeight="1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592</v>
      </c>
      <c r="H16" s="4" t="s">
        <v>151</v>
      </c>
      <c r="I16" s="4" t="b">
        <v>1</v>
      </c>
      <c r="J16" s="4" t="s">
        <v>572</v>
      </c>
      <c r="K16" s="4" t="b">
        <f>IF(COUNTIF($B$2:$B16,B16)&gt;1,TRUE,FALSE)</f>
        <v>0</v>
      </c>
      <c r="L16" s="14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customHeight="1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s="14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customHeight="1">
      <c r="A18" s="7">
        <v>19</v>
      </c>
      <c r="B18" s="6" t="s">
        <v>479</v>
      </c>
      <c r="C18" s="6" t="s">
        <v>114</v>
      </c>
      <c r="D18" s="4" t="s">
        <v>95</v>
      </c>
      <c r="E18" s="4" t="s">
        <v>591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s="14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customHeight="1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s="14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customHeight="1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590</v>
      </c>
      <c r="H20" s="4" t="s">
        <v>155</v>
      </c>
      <c r="I20" s="4" t="b">
        <v>0</v>
      </c>
      <c r="K20" s="4" t="b">
        <f>IF(COUNTIF($B$2:$B20,B20)&gt;1,TRUE,FALSE)</f>
        <v>0</v>
      </c>
      <c r="L20" s="14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customHeight="1">
      <c r="A21" s="7">
        <v>22</v>
      </c>
      <c r="B21" s="6" t="s">
        <v>482</v>
      </c>
      <c r="C21" s="6" t="s">
        <v>114</v>
      </c>
      <c r="D21" s="4" t="s">
        <v>536</v>
      </c>
      <c r="E21" s="4" t="s">
        <v>591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s="14" t="str">
        <f t="shared" si="0"/>
        <v>p.update({"constant":{"manifest":{"type":"named_construct","subtype":"constant-ref","indent":0,"default_value":"","docs_url":"https://looker.com/docs/r/lookml/types/manifest/constant?version=7.14&amp;lookml=new","has_allowed_values":False,"allowed_values":""}}})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{"constant":{"manifest":{"type":"named_construct","subtype":"constant-ref","indent":0,"default_value":"","docs_url":"https://looker.com/docs/r/lookml/types/manifest/constant?version=7.14&amp;lookml=new","has_allowed_values":False,"allowed_values":""}}}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"type":"named_construct",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customHeight="1">
      <c r="A22" s="7">
        <v>23</v>
      </c>
      <c r="B22" s="6" t="s">
        <v>126</v>
      </c>
      <c r="C22" s="6" t="s">
        <v>114</v>
      </c>
      <c r="D22" s="4" t="s">
        <v>95</v>
      </c>
      <c r="E22" s="4" t="s">
        <v>591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s="14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customHeight="1">
      <c r="A23" s="7">
        <v>26</v>
      </c>
      <c r="B23" s="6" t="s">
        <v>12</v>
      </c>
      <c r="C23" s="6" t="s">
        <v>110</v>
      </c>
      <c r="D23" s="4" t="s">
        <v>95</v>
      </c>
      <c r="E23" s="4" t="s">
        <v>591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s="14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customHeight="1">
      <c r="A24" s="7">
        <v>27</v>
      </c>
      <c r="B24" s="6" t="s">
        <v>123</v>
      </c>
      <c r="C24" s="6" t="s">
        <v>110</v>
      </c>
      <c r="D24" s="4" t="s">
        <v>95</v>
      </c>
      <c r="E24" s="4" t="s">
        <v>591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s="1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customHeight="1">
      <c r="A25" s="7">
        <v>28</v>
      </c>
      <c r="B25" s="6" t="s">
        <v>13</v>
      </c>
      <c r="C25" s="6" t="s">
        <v>110</v>
      </c>
      <c r="D25" s="4" t="s">
        <v>17</v>
      </c>
      <c r="E25" s="4" t="s">
        <v>594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s="14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customHeight="1">
      <c r="A26" s="7">
        <v>29</v>
      </c>
      <c r="B26" s="6" t="s">
        <v>90</v>
      </c>
      <c r="C26" s="6" t="s">
        <v>110</v>
      </c>
      <c r="D26" s="4" t="s">
        <v>101</v>
      </c>
      <c r="E26" s="4" t="s">
        <v>594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s="14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customHeight="1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571</v>
      </c>
      <c r="K27" s="4" t="b">
        <f>IF(COUNTIF($B$2:$B27,B27)&gt;1,TRUE,FALSE)</f>
        <v>0</v>
      </c>
      <c r="L27" s="14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customHeight="1">
      <c r="A28" s="7">
        <v>31</v>
      </c>
      <c r="B28" s="6" t="s">
        <v>124</v>
      </c>
      <c r="C28" s="6" t="s">
        <v>110</v>
      </c>
      <c r="D28" s="4" t="s">
        <v>95</v>
      </c>
      <c r="E28" s="4" t="s">
        <v>591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s="14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customHeight="1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602</v>
      </c>
      <c r="H29" s="4" t="s">
        <v>164</v>
      </c>
      <c r="I29" s="4" t="b">
        <v>0</v>
      </c>
      <c r="K29" s="4" t="b">
        <f>IF(COUNTIF($B$2:$B29,B29)&gt;1,TRUE,FALSE)</f>
        <v>0</v>
      </c>
      <c r="L29" s="14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customHeight="1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590</v>
      </c>
      <c r="H30" s="4" t="s">
        <v>165</v>
      </c>
      <c r="I30" s="4" t="b">
        <v>0</v>
      </c>
      <c r="K30" s="4" t="b">
        <f>IF(COUNTIF($B$2:$B30,B30)&gt;1,TRUE,FALSE)</f>
        <v>1</v>
      </c>
      <c r="L30" s="14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customHeight="1">
      <c r="A31" s="7">
        <v>34</v>
      </c>
      <c r="B31" s="6" t="s">
        <v>61</v>
      </c>
      <c r="C31" s="6" t="s">
        <v>110</v>
      </c>
      <c r="D31" s="4" t="s">
        <v>95</v>
      </c>
      <c r="E31" s="4" t="s">
        <v>591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s="14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customHeight="1">
      <c r="A32" s="7">
        <v>35</v>
      </c>
      <c r="B32" s="6" t="s">
        <v>125</v>
      </c>
      <c r="C32" s="6" t="s">
        <v>110</v>
      </c>
      <c r="D32" s="4" t="s">
        <v>95</v>
      </c>
      <c r="E32" s="4" t="s">
        <v>591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s="14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customHeight="1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s="14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customHeight="1">
      <c r="A34" s="7">
        <v>37</v>
      </c>
      <c r="B34" s="6" t="s">
        <v>31</v>
      </c>
      <c r="C34" s="6" t="s">
        <v>110</v>
      </c>
      <c r="D34" s="4" t="s">
        <v>609</v>
      </c>
      <c r="E34" s="4" t="s">
        <v>594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s="1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customHeight="1">
      <c r="A35" s="7">
        <v>38</v>
      </c>
      <c r="B35" s="6" t="s">
        <v>136</v>
      </c>
      <c r="C35" s="6" t="s">
        <v>110</v>
      </c>
      <c r="D35" s="4" t="s">
        <v>95</v>
      </c>
      <c r="E35" s="4" t="s">
        <v>591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s="14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customHeight="1">
      <c r="A36" s="7">
        <v>39</v>
      </c>
      <c r="B36" s="6" t="s">
        <v>100</v>
      </c>
      <c r="C36" s="6" t="s">
        <v>110</v>
      </c>
      <c r="D36" s="4" t="s">
        <v>610</v>
      </c>
      <c r="E36" s="4" t="s">
        <v>34</v>
      </c>
      <c r="F36" s="4">
        <v>1</v>
      </c>
      <c r="G36" s="4" t="s">
        <v>590</v>
      </c>
      <c r="H36" s="4" t="s">
        <v>171</v>
      </c>
      <c r="I36" s="4" t="b">
        <v>0</v>
      </c>
      <c r="K36" s="4" t="b">
        <f>IF(COUNTIF($B$2:$B36,B36)&gt;1,TRUE,FALSE)</f>
        <v>0</v>
      </c>
      <c r="L36" s="14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customHeight="1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603</v>
      </c>
      <c r="H37" s="4" t="s">
        <v>172</v>
      </c>
      <c r="I37" s="4" t="b">
        <v>0</v>
      </c>
      <c r="K37" s="4" t="b">
        <f>IF(COUNTIF($B$2:$B37,B37)&gt;1,TRUE,FALSE)</f>
        <v>0</v>
      </c>
      <c r="L37" s="14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customHeight="1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590</v>
      </c>
      <c r="H38" s="4" t="s">
        <v>173</v>
      </c>
      <c r="I38" s="4" t="b">
        <v>0</v>
      </c>
      <c r="K38" s="4" t="b">
        <f>IF(COUNTIF($B$2:$B38,B38)&gt;1,TRUE,FALSE)</f>
        <v>0</v>
      </c>
      <c r="L38" s="14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customHeight="1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s="14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customHeight="1">
      <c r="A40" s="7">
        <v>45</v>
      </c>
      <c r="B40" s="6" t="s">
        <v>84</v>
      </c>
      <c r="C40" s="6" t="s">
        <v>89</v>
      </c>
      <c r="D40" s="4" t="s">
        <v>95</v>
      </c>
      <c r="E40" s="4" t="s">
        <v>591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s="14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customHeight="1">
      <c r="A41" s="7">
        <v>46</v>
      </c>
      <c r="B41" s="6" t="s">
        <v>85</v>
      </c>
      <c r="C41" s="6" t="s">
        <v>89</v>
      </c>
      <c r="D41" s="4" t="s">
        <v>539</v>
      </c>
      <c r="E41" s="4" t="s">
        <v>539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s="14" t="str">
        <f t="shared" si="0"/>
        <v>p.update({"always_filter":{"explore":{"type":"anonymous_construct","subtype":"anonymous_construct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{"always_filter":{"explore":{"type":"anonymous_construct","subtype":"anonymous_construct","indent":1,"default_value":"","docs_url":"https://looker.com/docs/r/lookml/types/explore/always_filter?version=7.14&amp;lookml=new","has_allowed_values":False,"allowed_values":""}}}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"type":"anonymous_construct",</v>
      </c>
      <c r="O41" t="str">
        <f t="shared" si="5"/>
        <v>"subtype":"anonymous_construct",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customHeight="1">
      <c r="A42" s="7">
        <v>47</v>
      </c>
      <c r="B42" s="6" t="s">
        <v>86</v>
      </c>
      <c r="C42" s="6" t="s">
        <v>89</v>
      </c>
      <c r="D42" s="4" t="s">
        <v>101</v>
      </c>
      <c r="E42" s="4" t="s">
        <v>594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s="14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customHeight="1">
      <c r="A43" s="7">
        <v>48</v>
      </c>
      <c r="B43" s="6" t="s">
        <v>87</v>
      </c>
      <c r="C43" s="6" t="s">
        <v>89</v>
      </c>
      <c r="D43" s="4" t="s">
        <v>17</v>
      </c>
      <c r="E43" s="4" t="s">
        <v>594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s="14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customHeight="1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s="1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customHeight="1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603</v>
      </c>
      <c r="H45" s="4" t="s">
        <v>180</v>
      </c>
      <c r="I45" s="4" t="b">
        <v>0</v>
      </c>
      <c r="K45" s="4" t="b">
        <f>IF(COUNTIF($B$2:$B45,B45)&gt;1,TRUE,FALSE)</f>
        <v>1</v>
      </c>
      <c r="L45" s="14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customHeight="1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590</v>
      </c>
      <c r="H46" s="4" t="s">
        <v>181</v>
      </c>
      <c r="I46" s="4" t="b">
        <v>0</v>
      </c>
      <c r="K46" s="4" t="b">
        <f>IF(COUNTIF($B$2:$B46,B46)&gt;1,TRUE,FALSE)</f>
        <v>0</v>
      </c>
      <c r="L46" s="14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customHeight="1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590</v>
      </c>
      <c r="H47" s="4" t="s">
        <v>182</v>
      </c>
      <c r="I47" s="4" t="b">
        <v>0</v>
      </c>
      <c r="K47" s="4" t="b">
        <f>IF(COUNTIF($B$2:$B47,B47)&gt;1,TRUE,FALSE)</f>
        <v>0</v>
      </c>
      <c r="L47" s="14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customHeight="1">
      <c r="A48" s="7">
        <v>53</v>
      </c>
      <c r="B48" s="6" t="s">
        <v>90</v>
      </c>
      <c r="C48" s="6" t="s">
        <v>89</v>
      </c>
      <c r="D48" s="4" t="s">
        <v>15</v>
      </c>
      <c r="E48" s="4" t="s">
        <v>594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s="14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customHeight="1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571</v>
      </c>
      <c r="K49" s="4" t="b">
        <f>IF(COUNTIF($B$2:$B49,B49)&gt;1,TRUE,FALSE)</f>
        <v>1</v>
      </c>
      <c r="L49" s="14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customHeight="1">
      <c r="A50" s="7">
        <v>55</v>
      </c>
      <c r="B50" s="6" t="s">
        <v>94</v>
      </c>
      <c r="C50" s="6" t="s">
        <v>89</v>
      </c>
      <c r="D50" s="4" t="s">
        <v>101</v>
      </c>
      <c r="E50" s="4" t="s">
        <v>597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s="14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>
      <c r="A51" s="7">
        <v>56</v>
      </c>
      <c r="B51" s="6" t="s">
        <v>92</v>
      </c>
      <c r="C51" s="6" t="s">
        <v>89</v>
      </c>
      <c r="D51" s="4" t="s">
        <v>17</v>
      </c>
      <c r="E51" s="4" t="s">
        <v>594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s="14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602</v>
      </c>
      <c r="H52" s="4" t="s">
        <v>187</v>
      </c>
      <c r="I52" s="4" t="b">
        <v>0</v>
      </c>
      <c r="K52" s="4" t="b">
        <f>IF(COUNTIF($B$2:$B52,B52)&gt;1,TRUE,FALSE)</f>
        <v>1</v>
      </c>
      <c r="L52" s="14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602</v>
      </c>
      <c r="H53" s="4" t="s">
        <v>188</v>
      </c>
      <c r="I53" s="4" t="b">
        <v>0</v>
      </c>
      <c r="K53" s="4" t="b">
        <f>IF(COUNTIF($B$2:$B53,B53)&gt;1,TRUE,FALSE)</f>
        <v>0</v>
      </c>
      <c r="L53" s="14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>
      <c r="A54" s="7">
        <v>59</v>
      </c>
      <c r="B54" s="6" t="s">
        <v>96</v>
      </c>
      <c r="C54" s="6" t="s">
        <v>89</v>
      </c>
      <c r="D54" s="4" t="s">
        <v>95</v>
      </c>
      <c r="E54" s="4" t="s">
        <v>591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s="1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590</v>
      </c>
      <c r="H55" s="4" t="s">
        <v>190</v>
      </c>
      <c r="I55" s="4" t="b">
        <v>0</v>
      </c>
      <c r="K55" s="4" t="b">
        <f>IF(COUNTIF($B$2:$B55,B55)&gt;1,TRUE,FALSE)</f>
        <v>1</v>
      </c>
      <c r="L55" s="14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590</v>
      </c>
      <c r="H56" s="4" t="s">
        <v>191</v>
      </c>
      <c r="I56" s="4" t="b">
        <v>0</v>
      </c>
      <c r="K56" s="4" t="b">
        <f>IF(COUNTIF($B$2:$B56,B56)&gt;1,TRUE,FALSE)</f>
        <v>1</v>
      </c>
      <c r="L56" s="14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>
      <c r="A57" s="7">
        <v>62</v>
      </c>
      <c r="B57" s="6" t="s">
        <v>97</v>
      </c>
      <c r="C57" s="6" t="s">
        <v>89</v>
      </c>
      <c r="D57" s="4" t="s">
        <v>68</v>
      </c>
      <c r="E57" s="4" t="s">
        <v>597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s="14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>
      <c r="A58" s="7">
        <v>63</v>
      </c>
      <c r="B58" s="6" t="s">
        <v>31</v>
      </c>
      <c r="C58" s="6" t="s">
        <v>89</v>
      </c>
      <c r="D58" s="4" t="s">
        <v>609</v>
      </c>
      <c r="E58" s="4" t="s">
        <v>594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s="14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>
      <c r="A59" s="7">
        <v>64</v>
      </c>
      <c r="B59" s="6" t="s">
        <v>99</v>
      </c>
      <c r="C59" s="6" t="s">
        <v>89</v>
      </c>
      <c r="D59" s="4" t="s">
        <v>610</v>
      </c>
      <c r="E59" s="4" t="s">
        <v>34</v>
      </c>
      <c r="F59" s="4">
        <v>1</v>
      </c>
      <c r="G59" s="4" t="s">
        <v>590</v>
      </c>
      <c r="H59" s="4" t="s">
        <v>194</v>
      </c>
      <c r="I59" s="4" t="b">
        <v>0</v>
      </c>
      <c r="K59" s="4" t="b">
        <f>IF(COUNTIF($B$2:$B59,B59)&gt;1,TRUE,FALSE)</f>
        <v>0</v>
      </c>
      <c r="L59" s="14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>
      <c r="A60" s="7">
        <v>65</v>
      </c>
      <c r="B60" s="6" t="s">
        <v>98</v>
      </c>
      <c r="C60" s="6" t="s">
        <v>89</v>
      </c>
      <c r="D60" s="4" t="s">
        <v>610</v>
      </c>
      <c r="E60" s="4" t="s">
        <v>34</v>
      </c>
      <c r="F60" s="4">
        <v>1</v>
      </c>
      <c r="G60" s="4" t="s">
        <v>590</v>
      </c>
      <c r="H60" s="4" t="s">
        <v>195</v>
      </c>
      <c r="I60" s="4" t="b">
        <v>0</v>
      </c>
      <c r="K60" s="4" t="b">
        <f>IF(COUNTIF($B$2:$B60,B60)&gt;1,TRUE,FALSE)</f>
        <v>0</v>
      </c>
      <c r="L60" s="14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>
      <c r="A61" s="7">
        <v>66</v>
      </c>
      <c r="B61" s="6" t="s">
        <v>100</v>
      </c>
      <c r="C61" s="6" t="s">
        <v>89</v>
      </c>
      <c r="D61" s="4" t="s">
        <v>610</v>
      </c>
      <c r="E61" s="4" t="s">
        <v>34</v>
      </c>
      <c r="F61" s="4">
        <v>1</v>
      </c>
      <c r="G61" s="4" t="s">
        <v>590</v>
      </c>
      <c r="H61" s="4" t="s">
        <v>196</v>
      </c>
      <c r="I61" s="4" t="b">
        <v>0</v>
      </c>
      <c r="K61" s="4" t="b">
        <f>IF(COUNTIF($B$2:$B61,B61)&gt;1,TRUE,FALSE)</f>
        <v>1</v>
      </c>
      <c r="L61" s="14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>
      <c r="A62" s="7">
        <v>67</v>
      </c>
      <c r="B62" s="6" t="s">
        <v>47</v>
      </c>
      <c r="C62" s="6" t="s">
        <v>89</v>
      </c>
      <c r="D62" s="4" t="s">
        <v>596</v>
      </c>
      <c r="E62" s="4" t="s">
        <v>596</v>
      </c>
      <c r="F62" s="4">
        <v>1</v>
      </c>
      <c r="G62" s="4" t="s">
        <v>593</v>
      </c>
      <c r="H62" s="4" t="s">
        <v>197</v>
      </c>
      <c r="I62" s="4" t="b">
        <v>0</v>
      </c>
      <c r="K62" s="4" t="b">
        <f>IF(COUNTIF($B$2:$B62,B62)&gt;1,TRUE,FALSE)</f>
        <v>0</v>
      </c>
      <c r="L62" s="14" t="str">
        <f t="shared" si="0"/>
        <v>p.update({"tags":{"explore":{"type":"list_quoted","subtype":"list_quoted","indent":1,"default_value":[],"docs_url":"https://looker.com/docs/r/lookml/types/explore/tags?version=7.14&amp;lookml=new","has_allowed_values":False,"allowed_values":""}}})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{"tags":{"explore":{"type":"list_quoted","subtype":"list_quoted","indent":1,"default_value":[],"docs_url":"https://looker.com/docs/r/lookml/types/explore/tags?version=7.14&amp;lookml=new","has_allowed_values":False,"allowed_values":""}}}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"default_value":[],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590</v>
      </c>
      <c r="H63" s="4" t="s">
        <v>198</v>
      </c>
      <c r="I63" s="4" t="b">
        <v>0</v>
      </c>
      <c r="K63" s="4" t="b">
        <f>IF(COUNTIF($B$2:$B63,B63)&gt;1,TRUE,FALSE)</f>
        <v>1</v>
      </c>
      <c r="L63" s="14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>
      <c r="A64" s="7">
        <v>69</v>
      </c>
      <c r="B64" s="6" t="s">
        <v>102</v>
      </c>
      <c r="C64" s="6" t="s">
        <v>89</v>
      </c>
      <c r="D64" s="4" t="s">
        <v>101</v>
      </c>
      <c r="E64" s="1" t="s">
        <v>597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s="1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s="14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603</v>
      </c>
      <c r="H66" s="4" t="s">
        <v>201</v>
      </c>
      <c r="I66" s="4" t="b">
        <v>0</v>
      </c>
      <c r="K66" s="4" t="b">
        <f>IF(COUNTIF($B$2:$B66,B66)&gt;1,TRUE,FALSE)</f>
        <v>0</v>
      </c>
      <c r="L66" s="14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602</v>
      </c>
      <c r="H67" s="4" t="s">
        <v>202</v>
      </c>
      <c r="I67" s="4" t="b">
        <v>0</v>
      </c>
      <c r="K67" s="4" t="b">
        <f>IF(COUNTIF($B$2:$B67,B67)&gt;1,TRUE,FALSE)</f>
        <v>0</v>
      </c>
      <c r="L67" s="14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602</v>
      </c>
      <c r="H68" s="4" t="s">
        <v>203</v>
      </c>
      <c r="I68" s="4" t="b">
        <v>0</v>
      </c>
      <c r="K68" s="4" t="b">
        <f>IF(COUNTIF($B$2:$B68,B68)&gt;1,TRUE,FALSE)</f>
        <v>0</v>
      </c>
      <c r="L68" s="14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603</v>
      </c>
      <c r="H69" s="4" t="s">
        <v>204</v>
      </c>
      <c r="I69" s="4" t="b">
        <v>0</v>
      </c>
      <c r="K69" s="4" t="b">
        <f>IF(COUNTIF($B$2:$B69,B69)&gt;1,TRUE,FALSE)</f>
        <v>0</v>
      </c>
      <c r="L69" s="14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s="14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603</v>
      </c>
      <c r="H71" s="4" t="s">
        <v>206</v>
      </c>
      <c r="I71" s="4" t="b">
        <v>0</v>
      </c>
      <c r="K71" s="4" t="b">
        <f>IF(COUNTIF($B$2:$B71,B71)&gt;1,TRUE,FALSE)</f>
        <v>1</v>
      </c>
      <c r="L71" s="14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573</v>
      </c>
      <c r="H72" s="4" t="s">
        <v>207</v>
      </c>
      <c r="I72" s="4" t="b">
        <v>1</v>
      </c>
      <c r="J72" s="4" t="s">
        <v>574</v>
      </c>
      <c r="K72" s="4" t="b">
        <f>IF(COUNTIF($B$2:$B72,B72)&gt;1,TRUE,FALSE)</f>
        <v>0</v>
      </c>
      <c r="L72" s="14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>
      <c r="A73" s="7">
        <v>80</v>
      </c>
      <c r="B73" s="6" t="s">
        <v>13</v>
      </c>
      <c r="C73" s="6" t="s">
        <v>12</v>
      </c>
      <c r="D73" s="4" t="s">
        <v>17</v>
      </c>
      <c r="E73" s="4" t="s">
        <v>594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s="14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>
      <c r="A74" s="7">
        <v>81</v>
      </c>
      <c r="B74" s="6" t="s">
        <v>14</v>
      </c>
      <c r="C74" s="6" t="s">
        <v>12</v>
      </c>
      <c r="D74" s="4" t="s">
        <v>17</v>
      </c>
      <c r="E74" s="1" t="s">
        <v>597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s="1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590</v>
      </c>
      <c r="H75" s="4" t="s">
        <v>210</v>
      </c>
      <c r="I75" s="4" t="b">
        <v>0</v>
      </c>
      <c r="K75" s="4" t="b">
        <f>IF(COUNTIF($B$2:$B75,B75)&gt;1,TRUE,FALSE)</f>
        <v>0</v>
      </c>
      <c r="L75" s="14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603</v>
      </c>
      <c r="H76" s="4" t="s">
        <v>211</v>
      </c>
      <c r="I76" s="4" t="b">
        <v>0</v>
      </c>
      <c r="K76" s="4" t="b">
        <f>IF(COUNTIF($B$2:$B76,B76)&gt;1,TRUE,FALSE)</f>
        <v>0</v>
      </c>
      <c r="L76" s="14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590</v>
      </c>
      <c r="H77" s="4" t="s">
        <v>212</v>
      </c>
      <c r="I77" s="4" t="b">
        <v>0</v>
      </c>
      <c r="K77" s="4" t="b">
        <f>IF(COUNTIF($B$2:$B77,B77)&gt;1,TRUE,FALSE)</f>
        <v>1</v>
      </c>
      <c r="L77" s="14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590</v>
      </c>
      <c r="H78" s="4" t="s">
        <v>213</v>
      </c>
      <c r="I78" s="4" t="b">
        <v>0</v>
      </c>
      <c r="K78" s="4" t="b">
        <f>IF(COUNTIF($B$2:$B78,B78)&gt;1,TRUE,FALSE)</f>
        <v>0</v>
      </c>
      <c r="L78" s="14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>
      <c r="A79" s="7">
        <v>86</v>
      </c>
      <c r="B79" s="6" t="s">
        <v>22</v>
      </c>
      <c r="C79" s="6" t="s">
        <v>12</v>
      </c>
      <c r="D79" s="4" t="s">
        <v>611</v>
      </c>
      <c r="E79" s="4" t="s">
        <v>22</v>
      </c>
      <c r="F79" s="4">
        <v>2</v>
      </c>
      <c r="G79" s="4" t="s">
        <v>590</v>
      </c>
      <c r="H79" s="4" t="s">
        <v>214</v>
      </c>
      <c r="I79" s="4" t="b">
        <v>0</v>
      </c>
      <c r="K79" s="4" t="b">
        <f>IF(COUNTIF($B$2:$B79,B79)&gt;1,TRUE,FALSE)</f>
        <v>0</v>
      </c>
      <c r="L79" s="14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>
      <c r="A80" s="7">
        <v>87</v>
      </c>
      <c r="B80" s="6" t="s">
        <v>24</v>
      </c>
      <c r="C80" s="6" t="s">
        <v>12</v>
      </c>
      <c r="D80" s="4" t="s">
        <v>17</v>
      </c>
      <c r="E80" s="1" t="s">
        <v>597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s="14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s="14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>
      <c r="A82" s="7">
        <v>89</v>
      </c>
      <c r="B82" s="6" t="s">
        <v>27</v>
      </c>
      <c r="C82" s="6" t="s">
        <v>12</v>
      </c>
      <c r="D82" s="4" t="s">
        <v>26</v>
      </c>
      <c r="E82" s="1" t="s">
        <v>597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s="14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>
      <c r="A83" s="7">
        <v>90</v>
      </c>
      <c r="B83" s="6" t="s">
        <v>28</v>
      </c>
      <c r="C83" s="6" t="s">
        <v>12</v>
      </c>
      <c r="D83" s="4" t="s">
        <v>17</v>
      </c>
      <c r="E83" s="1" t="s">
        <v>597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s="14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602</v>
      </c>
      <c r="H84" s="4" t="s">
        <v>219</v>
      </c>
      <c r="I84" s="4" t="b">
        <v>0</v>
      </c>
      <c r="K84" s="4" t="b">
        <f>IF(COUNTIF($B$2:$B84,B84)&gt;1,TRUE,FALSE)</f>
        <v>0</v>
      </c>
      <c r="L84" s="1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>
      <c r="A85" s="7">
        <v>92</v>
      </c>
      <c r="B85" s="6" t="s">
        <v>32</v>
      </c>
      <c r="C85" s="6" t="s">
        <v>12</v>
      </c>
      <c r="D85" s="4" t="s">
        <v>17</v>
      </c>
      <c r="E85" s="4" t="s">
        <v>594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s="14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602</v>
      </c>
      <c r="H86" s="4" t="s">
        <v>221</v>
      </c>
      <c r="I86" s="4" t="b">
        <v>0</v>
      </c>
      <c r="K86" s="4" t="b">
        <f>IF(COUNTIF($B$2:$B86,B86)&gt;1,TRUE,FALSE)</f>
        <v>0</v>
      </c>
      <c r="L86" s="14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>
      <c r="A87" s="7">
        <v>94</v>
      </c>
      <c r="B87" s="6" t="s">
        <v>39</v>
      </c>
      <c r="C87" s="6" t="s">
        <v>12</v>
      </c>
      <c r="D87" s="4" t="s">
        <v>17</v>
      </c>
      <c r="E87" s="1" t="s">
        <v>597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s="14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>
      <c r="A88" s="7">
        <v>95</v>
      </c>
      <c r="B88" s="6" t="s">
        <v>46</v>
      </c>
      <c r="C88" s="6" t="s">
        <v>12</v>
      </c>
      <c r="D88" s="4" t="s">
        <v>596</v>
      </c>
      <c r="E88" s="4" t="s">
        <v>596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s="14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590</v>
      </c>
      <c r="H89" s="4" t="s">
        <v>224</v>
      </c>
      <c r="I89" s="4" t="b">
        <v>0</v>
      </c>
      <c r="K89" s="4" t="b">
        <f>IF(COUNTIF($B$2:$B89,B89)&gt;1,TRUE,FALSE)</f>
        <v>0</v>
      </c>
      <c r="L89" s="14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575</v>
      </c>
      <c r="H90" s="4" t="s">
        <v>225</v>
      </c>
      <c r="I90" s="4" t="b">
        <v>1</v>
      </c>
      <c r="J90" s="4" t="s">
        <v>576</v>
      </c>
      <c r="K90" s="4" t="b">
        <f>IF(COUNTIF($B$2:$B90,B90)&gt;1,TRUE,FALSE)</f>
        <v>0</v>
      </c>
      <c r="L90" s="14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>
      <c r="A91" s="7">
        <v>98</v>
      </c>
      <c r="B91" s="6" t="s">
        <v>34</v>
      </c>
      <c r="C91" s="6" t="s">
        <v>12</v>
      </c>
      <c r="D91" s="4" t="s">
        <v>610</v>
      </c>
      <c r="E91" s="4" t="s">
        <v>34</v>
      </c>
      <c r="F91" s="4">
        <v>2</v>
      </c>
      <c r="G91" s="4" t="s">
        <v>590</v>
      </c>
      <c r="H91" s="4" t="s">
        <v>226</v>
      </c>
      <c r="I91" s="4" t="b">
        <v>0</v>
      </c>
      <c r="K91" s="4" t="b">
        <f>IF(COUNTIF($B$2:$B91,B91)&gt;1,TRUE,FALSE)</f>
        <v>0</v>
      </c>
      <c r="L91" s="14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>
      <c r="A92" s="7">
        <v>99</v>
      </c>
      <c r="B92" s="6" t="s">
        <v>35</v>
      </c>
      <c r="C92" s="6" t="s">
        <v>12</v>
      </c>
      <c r="D92" s="4" t="s">
        <v>610</v>
      </c>
      <c r="E92" s="4" t="s">
        <v>34</v>
      </c>
      <c r="F92" s="4">
        <v>2</v>
      </c>
      <c r="G92" s="4" t="s">
        <v>590</v>
      </c>
      <c r="H92" s="4" t="s">
        <v>227</v>
      </c>
      <c r="I92" s="4" t="b">
        <v>0</v>
      </c>
      <c r="K92" s="4" t="b">
        <f>IF(COUNTIF($B$2:$B92,B92)&gt;1,TRUE,FALSE)</f>
        <v>0</v>
      </c>
      <c r="L92" s="14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>
      <c r="A93" s="7">
        <v>100</v>
      </c>
      <c r="B93" s="6" t="s">
        <v>38</v>
      </c>
      <c r="C93" s="6" t="s">
        <v>12</v>
      </c>
      <c r="D93" s="4" t="s">
        <v>610</v>
      </c>
      <c r="E93" s="4" t="s">
        <v>34</v>
      </c>
      <c r="F93" s="4">
        <v>2</v>
      </c>
      <c r="G93" s="4" t="s">
        <v>590</v>
      </c>
      <c r="H93" s="4" t="s">
        <v>228</v>
      </c>
      <c r="I93" s="4" t="b">
        <v>0</v>
      </c>
      <c r="K93" s="4" t="b">
        <f>IF(COUNTIF($B$2:$B93,B93)&gt;1,TRUE,FALSE)</f>
        <v>0</v>
      </c>
      <c r="L93" s="14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>
      <c r="A94" s="7">
        <v>101</v>
      </c>
      <c r="B94" s="6" t="s">
        <v>48</v>
      </c>
      <c r="C94" s="6" t="s">
        <v>12</v>
      </c>
      <c r="D94" s="4" t="s">
        <v>62</v>
      </c>
      <c r="E94" s="4" t="s">
        <v>594</v>
      </c>
      <c r="F94" s="4">
        <v>2</v>
      </c>
      <c r="G94" s="4" t="s">
        <v>593</v>
      </c>
      <c r="H94" s="4" t="s">
        <v>229</v>
      </c>
      <c r="I94" s="4" t="b">
        <v>0</v>
      </c>
      <c r="K94" s="4" t="b">
        <f>IF(COUNTIF($B$2:$B94,B94)&gt;1,TRUE,FALSE)</f>
        <v>0</v>
      </c>
      <c r="L94" s="1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>
      <c r="A95" s="7">
        <v>102</v>
      </c>
      <c r="B95" s="6" t="s">
        <v>37</v>
      </c>
      <c r="C95" s="6" t="s">
        <v>12</v>
      </c>
      <c r="D95" s="4" t="s">
        <v>610</v>
      </c>
      <c r="E95" s="4" t="s">
        <v>34</v>
      </c>
      <c r="F95" s="4">
        <v>2</v>
      </c>
      <c r="G95" s="4" t="s">
        <v>590</v>
      </c>
      <c r="H95" s="4" t="s">
        <v>230</v>
      </c>
      <c r="I95" s="4" t="b">
        <v>0</v>
      </c>
      <c r="K95" s="4" t="b">
        <f>IF(COUNTIF($B$2:$B95,B95)&gt;1,TRUE,FALSE)</f>
        <v>0</v>
      </c>
      <c r="L95" s="14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>
      <c r="A96" s="7">
        <v>103</v>
      </c>
      <c r="B96" s="6" t="s">
        <v>36</v>
      </c>
      <c r="C96" s="6" t="s">
        <v>12</v>
      </c>
      <c r="D96" s="4" t="s">
        <v>610</v>
      </c>
      <c r="E96" s="4" t="s">
        <v>34</v>
      </c>
      <c r="F96" s="4">
        <v>2</v>
      </c>
      <c r="G96" s="4" t="s">
        <v>590</v>
      </c>
      <c r="H96" s="4" t="s">
        <v>231</v>
      </c>
      <c r="I96" s="4" t="b">
        <v>0</v>
      </c>
      <c r="K96" s="4" t="b">
        <f>IF(COUNTIF($B$2:$B96,B96)&gt;1,TRUE,FALSE)</f>
        <v>0</v>
      </c>
      <c r="L96" s="14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577</v>
      </c>
      <c r="H97" s="4" t="s">
        <v>232</v>
      </c>
      <c r="I97" s="4" t="b">
        <v>1</v>
      </c>
      <c r="J97" s="4" t="s">
        <v>578</v>
      </c>
      <c r="K97" s="4" t="b">
        <f>IF(COUNTIF($B$2:$B97,B97)&gt;1,TRUE,FALSE)</f>
        <v>0</v>
      </c>
      <c r="L97" s="14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customHeight="1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579</v>
      </c>
      <c r="H98" s="4" t="s">
        <v>233</v>
      </c>
      <c r="I98" s="4" t="b">
        <v>1</v>
      </c>
      <c r="J98" s="8" t="s">
        <v>580</v>
      </c>
      <c r="K98" s="4" t="b">
        <f>IF(COUNTIF($B$2:$B98,B98)&gt;1,TRUE,FALSE)</f>
        <v>0</v>
      </c>
      <c r="L98" s="14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590</v>
      </c>
      <c r="H99" s="4" t="s">
        <v>234</v>
      </c>
      <c r="I99" s="4" t="b">
        <v>0</v>
      </c>
      <c r="K99" s="4" t="b">
        <f>IF(COUNTIF($B$2:$B99,B99)&gt;1,TRUE,FALSE)</f>
        <v>0</v>
      </c>
      <c r="L99" s="14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597</v>
      </c>
      <c r="F100" s="4">
        <v>2</v>
      </c>
      <c r="G100" s="4" t="s">
        <v>598</v>
      </c>
      <c r="H100" s="4" t="s">
        <v>235</v>
      </c>
      <c r="I100" s="4" t="b">
        <v>0</v>
      </c>
      <c r="K100" s="4" t="b">
        <f>IF(COUNTIF($B$2:$B100,B100)&gt;1,TRUE,FALSE)</f>
        <v>0</v>
      </c>
      <c r="L100" s="14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594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s="14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603</v>
      </c>
      <c r="H102" s="4" t="s">
        <v>237</v>
      </c>
      <c r="I102" s="4" t="b">
        <v>0</v>
      </c>
      <c r="K102" s="4" t="b">
        <f>IF(COUNTIF($B$2:$B102,B102)&gt;1,TRUE,FALSE)</f>
        <v>0</v>
      </c>
      <c r="L102" s="14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590</v>
      </c>
      <c r="H103" s="4" t="s">
        <v>238</v>
      </c>
      <c r="I103" s="4" t="b">
        <v>0</v>
      </c>
      <c r="K103" s="4" t="b">
        <f>IF(COUNTIF($B$2:$B103,B103)&gt;1,TRUE,FALSE)</f>
        <v>1</v>
      </c>
      <c r="L103" s="14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602</v>
      </c>
      <c r="H104" s="4" t="s">
        <v>239</v>
      </c>
      <c r="I104" s="4" t="b">
        <v>0</v>
      </c>
      <c r="K104" s="4" t="b">
        <f>IF(COUNTIF($B$2:$B104,B104)&gt;1,TRUE,FALSE)</f>
        <v>1</v>
      </c>
      <c r="L104" s="1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590</v>
      </c>
      <c r="H105" s="4" t="s">
        <v>240</v>
      </c>
      <c r="I105" s="4" t="b">
        <v>0</v>
      </c>
      <c r="K105" s="4" t="b">
        <f>IF(COUNTIF($B$2:$B105,B105)&gt;1,TRUE,FALSE)</f>
        <v>1</v>
      </c>
      <c r="L105" s="14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>
      <c r="A106" s="7">
        <v>113</v>
      </c>
      <c r="B106" s="6" t="s">
        <v>31</v>
      </c>
      <c r="C106" s="6" t="s">
        <v>12</v>
      </c>
      <c r="D106" s="4" t="s">
        <v>609</v>
      </c>
      <c r="E106" s="4" t="s">
        <v>594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s="14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603</v>
      </c>
      <c r="H107" s="4" t="s">
        <v>242</v>
      </c>
      <c r="I107" s="4" t="b">
        <v>0</v>
      </c>
      <c r="K107" s="4" t="b">
        <f>IF(COUNTIF($B$2:$B107,B107)&gt;1,TRUE,FALSE)</f>
        <v>0</v>
      </c>
      <c r="L107" s="14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>
      <c r="A108" s="7">
        <v>115</v>
      </c>
      <c r="B108" s="6" t="s">
        <v>47</v>
      </c>
      <c r="C108" s="6" t="s">
        <v>12</v>
      </c>
      <c r="D108" s="4" t="s">
        <v>596</v>
      </c>
      <c r="E108" s="4" t="s">
        <v>596</v>
      </c>
      <c r="F108" s="4">
        <v>2</v>
      </c>
      <c r="G108" s="4" t="s">
        <v>593</v>
      </c>
      <c r="H108" s="4" t="s">
        <v>243</v>
      </c>
      <c r="I108" s="4" t="b">
        <v>0</v>
      </c>
      <c r="K108" s="4" t="b">
        <f>IF(COUNTIF($B$2:$B108,B108)&gt;1,TRUE,FALSE)</f>
        <v>1</v>
      </c>
      <c r="L108" s="14" t="str">
        <f t="shared" si="11"/>
        <v>p["tags"].update({"dimension":{"type":"list_quoted","subtype":"list_quoted","indent":2,"default_value":[],"docs_url":"https://looker.com/docs/r/lookml/types/dimension/tags?version=7.14&amp;lookml=new","has_allowed_values":False,"allowed_values":""}})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{"tags":{"dimension":{"type":"list_quoted","subtype":"list_quoted","indent":2,"default_value":[],"docs_url":"https://looker.com/docs/r/lookml/types/dimension/tags?version=7.14&amp;lookml=new","has_allowed_values":False,"allowed_values":""}}}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"default_value":[],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s="14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597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s="14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597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s="14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590</v>
      </c>
      <c r="H112" s="4" t="s">
        <v>247</v>
      </c>
      <c r="I112" s="4" t="b">
        <v>0</v>
      </c>
      <c r="K112" s="4" t="b">
        <f>IF(COUNTIF($B$2:$B112,B112)&gt;1,TRUE,FALSE)</f>
        <v>1</v>
      </c>
      <c r="L112" s="14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s="14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602</v>
      </c>
      <c r="H114" s="4" t="s">
        <v>249</v>
      </c>
      <c r="I114" s="4" t="b">
        <v>0</v>
      </c>
      <c r="K114" s="4" t="b">
        <f>IF(COUNTIF($B$2:$B114,B114)&gt;1,TRUE,FALSE)</f>
        <v>0</v>
      </c>
      <c r="L114" s="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597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s="14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602</v>
      </c>
      <c r="H116" s="4" t="s">
        <v>251</v>
      </c>
      <c r="I116" s="4" t="b">
        <v>0</v>
      </c>
      <c r="K116" s="4" t="b">
        <f>IF(COUNTIF($B$2:$B116,B116)&gt;1,TRUE,FALSE)</f>
        <v>0</v>
      </c>
      <c r="L116" s="14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603</v>
      </c>
      <c r="H117" s="4" t="s">
        <v>252</v>
      </c>
      <c r="I117" s="4" t="b">
        <v>0</v>
      </c>
      <c r="K117" s="4" t="b">
        <f>IF(COUNTIF($B$2:$B117,B117)&gt;1,TRUE,FALSE)</f>
        <v>1</v>
      </c>
      <c r="L117" s="14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573</v>
      </c>
      <c r="H118" s="4" t="s">
        <v>253</v>
      </c>
      <c r="I118" s="4" t="b">
        <v>1</v>
      </c>
      <c r="J118" s="4" t="s">
        <v>574</v>
      </c>
      <c r="K118" s="4" t="b">
        <f>IF(COUNTIF($B$2:$B118,B118)&gt;1,TRUE,FALSE)</f>
        <v>1</v>
      </c>
      <c r="L118" s="14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>
      <c r="A119" s="7">
        <v>128</v>
      </c>
      <c r="B119" s="6" t="s">
        <v>58</v>
      </c>
      <c r="C119" s="6" t="s">
        <v>61</v>
      </c>
      <c r="D119" s="4" t="s">
        <v>581</v>
      </c>
      <c r="E119" s="4" t="s">
        <v>581</v>
      </c>
      <c r="F119" s="4">
        <v>2</v>
      </c>
      <c r="G119" s="4" t="s">
        <v>582</v>
      </c>
      <c r="H119" s="4" t="s">
        <v>254</v>
      </c>
      <c r="I119" s="4" t="b">
        <v>1</v>
      </c>
      <c r="J119" s="4" t="s">
        <v>583</v>
      </c>
      <c r="K119" s="4" t="b">
        <f>IF(COUNTIF($B$2:$B119,B119)&gt;1,TRUE,FALSE)</f>
        <v>0</v>
      </c>
      <c r="L119" s="14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594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s="14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590</v>
      </c>
      <c r="H121" s="4" t="s">
        <v>256</v>
      </c>
      <c r="I121" s="4" t="b">
        <v>0</v>
      </c>
      <c r="K121" s="4" t="b">
        <f>IF(COUNTIF($B$2:$B121,B121)&gt;1,TRUE,FALSE)</f>
        <v>1</v>
      </c>
      <c r="L121" s="14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s="14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590</v>
      </c>
      <c r="H123" s="4" t="s">
        <v>258</v>
      </c>
      <c r="I123" s="4" t="b">
        <v>0</v>
      </c>
      <c r="K123" s="4" t="b">
        <f>IF(COUNTIF($B$2:$B123,B123)&gt;1,TRUE,FALSE)</f>
        <v>1</v>
      </c>
      <c r="L123" s="14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590</v>
      </c>
      <c r="H124" s="4" t="s">
        <v>259</v>
      </c>
      <c r="I124" s="4" t="b">
        <v>0</v>
      </c>
      <c r="K124" s="4" t="b">
        <f>IF(COUNTIF($B$2:$B124,B124)&gt;1,TRUE,FALSE)</f>
        <v>1</v>
      </c>
      <c r="L124" s="1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>
      <c r="A125" s="7">
        <v>134</v>
      </c>
      <c r="B125" s="6" t="s">
        <v>22</v>
      </c>
      <c r="C125" s="6" t="s">
        <v>61</v>
      </c>
      <c r="D125" s="4" t="s">
        <v>611</v>
      </c>
      <c r="E125" s="4" t="s">
        <v>22</v>
      </c>
      <c r="F125" s="4">
        <v>2</v>
      </c>
      <c r="G125" s="4" t="s">
        <v>590</v>
      </c>
      <c r="H125" s="4" t="s">
        <v>260</v>
      </c>
      <c r="I125" s="4" t="b">
        <v>0</v>
      </c>
      <c r="K125" s="4" t="b">
        <f>IF(COUNTIF($B$2:$B125,B125)&gt;1,TRUE,FALSE)</f>
        <v>1</v>
      </c>
      <c r="L125" s="14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597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s="14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s="14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597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s="14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597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s="14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597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s="14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597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s="14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594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s="14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>
      <c r="A133" s="7">
        <v>142</v>
      </c>
      <c r="B133" s="6" t="s">
        <v>34</v>
      </c>
      <c r="C133" s="6" t="s">
        <v>61</v>
      </c>
      <c r="D133" s="4" t="s">
        <v>610</v>
      </c>
      <c r="E133" s="4" t="s">
        <v>34</v>
      </c>
      <c r="F133" s="4">
        <v>2</v>
      </c>
      <c r="G133" s="4" t="s">
        <v>590</v>
      </c>
      <c r="H133" s="4" t="s">
        <v>268</v>
      </c>
      <c r="I133" s="4" t="b">
        <v>0</v>
      </c>
      <c r="K133" s="4" t="b">
        <f>IF(COUNTIF($B$2:$B133,B133)&gt;1,TRUE,FALSE)</f>
        <v>1</v>
      </c>
      <c r="L133" s="14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>
      <c r="A134" s="7">
        <v>143</v>
      </c>
      <c r="B134" s="6" t="s">
        <v>65</v>
      </c>
      <c r="C134" s="6" t="s">
        <v>61</v>
      </c>
      <c r="D134" s="4" t="s">
        <v>610</v>
      </c>
      <c r="E134" s="4" t="s">
        <v>34</v>
      </c>
      <c r="F134" s="4">
        <v>2</v>
      </c>
      <c r="G134" s="4" t="s">
        <v>590</v>
      </c>
      <c r="H134" s="4" t="s">
        <v>269</v>
      </c>
      <c r="I134" s="4" t="b">
        <v>0</v>
      </c>
      <c r="K134" s="4" t="b">
        <f>IF(COUNTIF($B$2:$B134,B134)&gt;1,TRUE,FALSE)</f>
        <v>0</v>
      </c>
      <c r="L134" s="1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590</v>
      </c>
      <c r="H135" s="4" t="s">
        <v>270</v>
      </c>
      <c r="I135" s="4" t="b">
        <v>0</v>
      </c>
      <c r="K135" s="4" t="b">
        <f>IF(COUNTIF($B$2:$B135,B135)&gt;1,TRUE,FALSE)</f>
        <v>1</v>
      </c>
      <c r="L135" s="14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597</v>
      </c>
      <c r="F136" s="4">
        <v>2</v>
      </c>
      <c r="G136" s="4" t="s">
        <v>598</v>
      </c>
      <c r="H136" s="4" t="s">
        <v>271</v>
      </c>
      <c r="I136" s="4" t="b">
        <v>0</v>
      </c>
      <c r="K136" s="4" t="b">
        <f>IF(COUNTIF($B$2:$B136,B136)&gt;1,TRUE,FALSE)</f>
        <v>1</v>
      </c>
      <c r="L136" s="14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594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s="14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603</v>
      </c>
      <c r="H138" s="4" t="s">
        <v>273</v>
      </c>
      <c r="I138" s="4" t="b">
        <v>0</v>
      </c>
      <c r="K138" s="4" t="b">
        <f>IF(COUNTIF($B$2:$B138,B138)&gt;1,TRUE,FALSE)</f>
        <v>1</v>
      </c>
      <c r="L138" s="14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590</v>
      </c>
      <c r="H139" s="4" t="s">
        <v>274</v>
      </c>
      <c r="I139" s="4" t="b">
        <v>0</v>
      </c>
      <c r="K139" s="4" t="b">
        <f>IF(COUNTIF($B$2:$B139,B139)&gt;1,TRUE,FALSE)</f>
        <v>1</v>
      </c>
      <c r="L139" s="14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602</v>
      </c>
      <c r="H140" s="4" t="s">
        <v>275</v>
      </c>
      <c r="I140" s="4" t="b">
        <v>0</v>
      </c>
      <c r="K140" s="4" t="b">
        <f>IF(COUNTIF($B$2:$B140,B140)&gt;1,TRUE,FALSE)</f>
        <v>1</v>
      </c>
      <c r="L140" s="14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590</v>
      </c>
      <c r="H141" s="4" t="s">
        <v>276</v>
      </c>
      <c r="I141" s="4" t="b">
        <v>0</v>
      </c>
      <c r="K141" s="4" t="b">
        <f>IF(COUNTIF($B$2:$B141,B141)&gt;1,TRUE,FALSE)</f>
        <v>1</v>
      </c>
      <c r="L141" s="14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>
      <c r="A142" s="7">
        <v>151</v>
      </c>
      <c r="B142" s="6" t="s">
        <v>31</v>
      </c>
      <c r="C142" s="6" t="s">
        <v>61</v>
      </c>
      <c r="D142" s="4" t="s">
        <v>609</v>
      </c>
      <c r="E142" s="4" t="s">
        <v>594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s="14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603</v>
      </c>
      <c r="H143" s="4" t="s">
        <v>278</v>
      </c>
      <c r="I143" s="4" t="b">
        <v>0</v>
      </c>
      <c r="K143" s="4" t="b">
        <f>IF(COUNTIF($B$2:$B143,B143)&gt;1,TRUE,FALSE)</f>
        <v>1</v>
      </c>
      <c r="L143" s="14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>
      <c r="A144" s="7">
        <v>153</v>
      </c>
      <c r="B144" s="6" t="s">
        <v>47</v>
      </c>
      <c r="C144" s="6" t="s">
        <v>61</v>
      </c>
      <c r="D144" s="4" t="s">
        <v>596</v>
      </c>
      <c r="E144" s="4" t="s">
        <v>596</v>
      </c>
      <c r="F144" s="4">
        <v>2</v>
      </c>
      <c r="G144" s="4" t="s">
        <v>593</v>
      </c>
      <c r="H144" s="4" t="s">
        <v>279</v>
      </c>
      <c r="I144" s="4" t="b">
        <v>0</v>
      </c>
      <c r="K144" s="4" t="b">
        <f>IF(COUNTIF($B$2:$B144,B144)&gt;1,TRUE,FALSE)</f>
        <v>1</v>
      </c>
      <c r="L144" s="14" t="str">
        <f t="shared" si="21"/>
        <v>p["tags"].update({"measure":{"type":"list_quoted","subtype":"list_quoted","indent":2,"default_value":[],"docs_url":"https://looker.com/docs/r/lookml/types/measure/tags?version=7.14&amp;lookml=new","has_allowed_values":False,"allowed_values":""}})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{"tags":{"measure":{"type":"list_quoted","subtype":"list_quoted","indent":2,"default_value":[],"docs_url":"https://looker.com/docs/r/lookml/types/measure/tags?version=7.14&amp;lookml=new","has_allowed_values":False,"allowed_values":""}}}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"default_value":[],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62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s="14" t="str">
        <f t="shared" si="21"/>
        <v>p["type"].update({"measure":{"type":"options","subtype":"options","indent":2,"default_value":"number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number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"default_value":"number",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597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s="14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597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s="14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590</v>
      </c>
      <c r="H148" s="4" t="s">
        <v>283</v>
      </c>
      <c r="I148" s="4" t="b">
        <v>0</v>
      </c>
      <c r="K148" s="4" t="b">
        <f>IF(COUNTIF($B$2:$B148,B148)&gt;1,TRUE,FALSE)</f>
        <v>1</v>
      </c>
      <c r="L148" s="14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603</v>
      </c>
      <c r="H149" s="4" t="s">
        <v>284</v>
      </c>
      <c r="I149" s="4" t="b">
        <v>0</v>
      </c>
      <c r="K149" s="4" t="b">
        <f>IF(COUNTIF($B$2:$B149,B149)&gt;1,TRUE,FALSE)</f>
        <v>1</v>
      </c>
      <c r="L149" s="14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602</v>
      </c>
      <c r="H150" s="4" t="s">
        <v>285</v>
      </c>
      <c r="I150" s="4" t="b">
        <v>0</v>
      </c>
      <c r="K150" s="4" t="b">
        <f>IF(COUNTIF($B$2:$B150,B150)&gt;1,TRUE,FALSE)</f>
        <v>1</v>
      </c>
      <c r="L150" s="14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603</v>
      </c>
      <c r="H151" s="4" t="s">
        <v>286</v>
      </c>
      <c r="I151" s="4" t="b">
        <v>0</v>
      </c>
      <c r="K151" s="4" t="b">
        <f>IF(COUNTIF($B$2:$B151,B151)&gt;1,TRUE,FALSE)</f>
        <v>1</v>
      </c>
      <c r="L151" s="14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573</v>
      </c>
      <c r="H152" s="10" t="s">
        <v>287</v>
      </c>
      <c r="I152" s="4" t="b">
        <v>1</v>
      </c>
      <c r="J152" s="4" t="s">
        <v>574</v>
      </c>
      <c r="K152" s="4" t="b">
        <f>IF(COUNTIF($B$2:$B152,B152)&gt;1,TRUE,FALSE)</f>
        <v>1</v>
      </c>
      <c r="L152" s="14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594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s="14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590</v>
      </c>
      <c r="H154" s="4" t="s">
        <v>289</v>
      </c>
      <c r="I154" s="4" t="b">
        <v>0</v>
      </c>
      <c r="K154" s="4" t="b">
        <f>IF(COUNTIF($B$2:$B154,B154)&gt;1,TRUE,FALSE)</f>
        <v>1</v>
      </c>
      <c r="L154" s="1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603</v>
      </c>
      <c r="H155" s="4" t="s">
        <v>290</v>
      </c>
      <c r="I155" s="4" t="b">
        <v>0</v>
      </c>
      <c r="K155" s="4" t="b">
        <f>IF(COUNTIF($B$2:$B155,B155)&gt;1,TRUE,FALSE)</f>
        <v>1</v>
      </c>
      <c r="L155" s="14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590</v>
      </c>
      <c r="H156" s="4" t="s">
        <v>291</v>
      </c>
      <c r="I156" s="4" t="b">
        <v>0</v>
      </c>
      <c r="K156" s="4" t="b">
        <f>IF(COUNTIF($B$2:$B156,B156)&gt;1,TRUE,FALSE)</f>
        <v>1</v>
      </c>
      <c r="L156" s="14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590</v>
      </c>
      <c r="H157" s="4" t="s">
        <v>292</v>
      </c>
      <c r="I157" s="4" t="b">
        <v>0</v>
      </c>
      <c r="K157" s="4" t="b">
        <f>IF(COUNTIF($B$2:$B157,B157)&gt;1,TRUE,FALSE)</f>
        <v>1</v>
      </c>
      <c r="L157" s="14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>
      <c r="A158" s="7">
        <v>169</v>
      </c>
      <c r="B158" s="6" t="s">
        <v>22</v>
      </c>
      <c r="C158" s="6" t="s">
        <v>123</v>
      </c>
      <c r="D158" s="4" t="s">
        <v>611</v>
      </c>
      <c r="E158" s="4" t="s">
        <v>22</v>
      </c>
      <c r="F158" s="4">
        <v>2</v>
      </c>
      <c r="G158" s="4" t="s">
        <v>590</v>
      </c>
      <c r="H158" s="4" t="s">
        <v>293</v>
      </c>
      <c r="I158" s="4" t="b">
        <v>0</v>
      </c>
      <c r="K158" s="4" t="b">
        <f>IF(COUNTIF($B$2:$B158,B158)&gt;1,TRUE,FALSE)</f>
        <v>1</v>
      </c>
      <c r="L158" s="14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>
      <c r="A159" s="7">
        <v>170</v>
      </c>
      <c r="B159" s="6" t="s">
        <v>483</v>
      </c>
      <c r="C159" s="6" t="s">
        <v>123</v>
      </c>
      <c r="D159" s="4" t="s">
        <v>594</v>
      </c>
      <c r="E159" s="4" t="s">
        <v>594</v>
      </c>
      <c r="F159" s="4">
        <v>2</v>
      </c>
      <c r="G159" s="4" t="s">
        <v>585</v>
      </c>
      <c r="H159" s="10" t="s">
        <v>294</v>
      </c>
      <c r="I159" s="4" t="b">
        <v>1</v>
      </c>
      <c r="J159" s="4" t="s">
        <v>584</v>
      </c>
      <c r="K159" s="4" t="b">
        <f>IF(COUNTIF($B$2:$B159,B159)&gt;1,TRUE,FALSE)</f>
        <v>0</v>
      </c>
      <c r="L159" s="14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597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s="14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602</v>
      </c>
      <c r="H161" s="4" t="s">
        <v>296</v>
      </c>
      <c r="I161" s="4" t="b">
        <v>0</v>
      </c>
      <c r="K161" s="4" t="b">
        <f>IF(COUNTIF($B$2:$B161,B161)&gt;1,TRUE,FALSE)</f>
        <v>1</v>
      </c>
      <c r="L161" s="14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>
      <c r="A162" s="7">
        <v>173</v>
      </c>
      <c r="B162" s="6" t="s">
        <v>34</v>
      </c>
      <c r="C162" s="6" t="s">
        <v>123</v>
      </c>
      <c r="D162" s="4" t="s">
        <v>610</v>
      </c>
      <c r="E162" s="4" t="s">
        <v>34</v>
      </c>
      <c r="F162" s="4">
        <v>2</v>
      </c>
      <c r="G162" s="4" t="s">
        <v>590</v>
      </c>
      <c r="H162" s="4" t="s">
        <v>297</v>
      </c>
      <c r="I162" s="4" t="b">
        <v>0</v>
      </c>
      <c r="K162" s="4" t="b">
        <f>IF(COUNTIF($B$2:$B162,B162)&gt;1,TRUE,FALSE)</f>
        <v>1</v>
      </c>
      <c r="L162" s="14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>
      <c r="A163" s="7">
        <v>174</v>
      </c>
      <c r="B163" s="6" t="s">
        <v>35</v>
      </c>
      <c r="C163" s="6" t="s">
        <v>123</v>
      </c>
      <c r="D163" s="4" t="s">
        <v>610</v>
      </c>
      <c r="E163" s="4" t="s">
        <v>34</v>
      </c>
      <c r="F163" s="4">
        <v>2</v>
      </c>
      <c r="G163" s="4" t="s">
        <v>590</v>
      </c>
      <c r="H163" s="4" t="s">
        <v>298</v>
      </c>
      <c r="I163" s="4" t="b">
        <v>0</v>
      </c>
      <c r="K163" s="4" t="b">
        <f>IF(COUNTIF($B$2:$B163,B163)&gt;1,TRUE,FALSE)</f>
        <v>1</v>
      </c>
      <c r="L163" s="14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>
      <c r="A164" s="7">
        <v>175</v>
      </c>
      <c r="B164" s="6" t="s">
        <v>38</v>
      </c>
      <c r="C164" s="6" t="s">
        <v>123</v>
      </c>
      <c r="D164" s="4" t="s">
        <v>610</v>
      </c>
      <c r="E164" s="4" t="s">
        <v>34</v>
      </c>
      <c r="F164" s="4">
        <v>2</v>
      </c>
      <c r="G164" s="4" t="s">
        <v>590</v>
      </c>
      <c r="H164" s="4" t="s">
        <v>299</v>
      </c>
      <c r="I164" s="4" t="b">
        <v>0</v>
      </c>
      <c r="K164" s="4" t="b">
        <f>IF(COUNTIF($B$2:$B164,B164)&gt;1,TRUE,FALSE)</f>
        <v>1</v>
      </c>
      <c r="L164" s="1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>
      <c r="A165" s="7">
        <v>176</v>
      </c>
      <c r="B165" s="6" t="s">
        <v>484</v>
      </c>
      <c r="C165" s="6" t="s">
        <v>123</v>
      </c>
      <c r="D165" s="4" t="s">
        <v>594</v>
      </c>
      <c r="E165" s="4" t="s">
        <v>594</v>
      </c>
      <c r="F165" s="4">
        <v>2</v>
      </c>
      <c r="G165" s="4" t="s">
        <v>587</v>
      </c>
      <c r="H165" s="4" t="s">
        <v>300</v>
      </c>
      <c r="I165" s="4" t="b">
        <v>1</v>
      </c>
      <c r="J165" s="4" t="s">
        <v>586</v>
      </c>
      <c r="K165" s="4" t="b">
        <f>IF(COUNTIF($B$2:$B165,B165)&gt;1,TRUE,FALSE)</f>
        <v>0</v>
      </c>
      <c r="L165" s="14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594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s="14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603</v>
      </c>
      <c r="H167" s="4" t="s">
        <v>302</v>
      </c>
      <c r="I167" s="4" t="b">
        <v>0</v>
      </c>
      <c r="K167" s="4" t="b">
        <f>IF(COUNTIF($B$2:$B167,B167)&gt;1,TRUE,FALSE)</f>
        <v>1</v>
      </c>
      <c r="L167" s="14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590</v>
      </c>
      <c r="H168" s="4" t="s">
        <v>303</v>
      </c>
      <c r="I168" s="4" t="b">
        <v>0</v>
      </c>
      <c r="K168" s="4" t="b">
        <f>IF(COUNTIF($B$2:$B168,B168)&gt;1,TRUE,FALSE)</f>
        <v>1</v>
      </c>
      <c r="L168" s="14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602</v>
      </c>
      <c r="H169" s="4" t="s">
        <v>304</v>
      </c>
      <c r="I169" s="4" t="b">
        <v>0</v>
      </c>
      <c r="K169" s="4" t="b">
        <f>IF(COUNTIF($B$2:$B169,B169)&gt;1,TRUE,FALSE)</f>
        <v>1</v>
      </c>
      <c r="L169" s="14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590</v>
      </c>
      <c r="H170" s="4" t="s">
        <v>305</v>
      </c>
      <c r="I170" s="4" t="b">
        <v>0</v>
      </c>
      <c r="K170" s="4" t="b">
        <f>IF(COUNTIF($B$2:$B170,B170)&gt;1,TRUE,FALSE)</f>
        <v>1</v>
      </c>
      <c r="L170" s="14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>
      <c r="A171" s="7">
        <v>182</v>
      </c>
      <c r="B171" s="6" t="s">
        <v>31</v>
      </c>
      <c r="C171" s="6" t="s">
        <v>123</v>
      </c>
      <c r="D171" s="4" t="s">
        <v>609</v>
      </c>
      <c r="E171" s="4" t="s">
        <v>594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s="14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603</v>
      </c>
      <c r="H172" s="4" t="s">
        <v>307</v>
      </c>
      <c r="I172" s="4" t="b">
        <v>0</v>
      </c>
      <c r="K172" s="4" t="b">
        <f>IF(COUNTIF($B$2:$B172,B172)&gt;1,TRUE,FALSE)</f>
        <v>1</v>
      </c>
      <c r="L172" s="14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>
      <c r="A173" s="7">
        <v>184</v>
      </c>
      <c r="B173" s="6" t="s">
        <v>47</v>
      </c>
      <c r="C173" s="6" t="s">
        <v>123</v>
      </c>
      <c r="D173" s="4" t="s">
        <v>596</v>
      </c>
      <c r="E173" s="4" t="s">
        <v>596</v>
      </c>
      <c r="F173" s="4">
        <v>2</v>
      </c>
      <c r="G173" s="4" t="s">
        <v>593</v>
      </c>
      <c r="H173" s="4" t="s">
        <v>308</v>
      </c>
      <c r="I173" s="4" t="b">
        <v>0</v>
      </c>
      <c r="K173" s="4" t="b">
        <f>IF(COUNTIF($B$2:$B173,B173)&gt;1,TRUE,FALSE)</f>
        <v>1</v>
      </c>
      <c r="L173" s="14" t="str">
        <f t="shared" si="21"/>
        <v>p["tags"].update({"dimension_group":{"type":"list_quoted","subtype":"list_quoted","indent":2,"default_value":[],"docs_url":"https://looker.com/docs/r/lookml/types/dimension_group/tags?version=7.14&amp;lookml=new","has_allowed_values":False,"allowed_values":""}})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{"tags":{"dimension_group":{"type":"list_quoted","subtype":"list_quoted","indent":2,"default_value":[],"docs_url":"https://looker.com/docs/r/lookml/types/dimension_group/tags?version=7.14&amp;lookml=new","has_allowed_values":False,"allowed_values":""}}}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"default_value":[],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588</v>
      </c>
      <c r="K174" s="4" t="b">
        <f>IF(COUNTIF($B$2:$B174,B174)&gt;1,TRUE,FALSE)</f>
        <v>1</v>
      </c>
      <c r="L174" s="1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597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s="14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597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s="14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590</v>
      </c>
      <c r="H177" s="4" t="s">
        <v>312</v>
      </c>
      <c r="I177" s="4" t="b">
        <v>0</v>
      </c>
      <c r="K177" s="4" t="b">
        <f>IF(COUNTIF($B$2:$B177,B177)&gt;1,TRUE,FALSE)</f>
        <v>1</v>
      </c>
      <c r="L177" s="14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602</v>
      </c>
      <c r="H178" s="4" t="s">
        <v>313</v>
      </c>
      <c r="I178" s="4" t="b">
        <v>0</v>
      </c>
      <c r="K178" s="4" t="b">
        <f>IF(COUNTIF($B$2:$B178,B178)&gt;1,TRUE,FALSE)</f>
        <v>1</v>
      </c>
      <c r="L178" s="14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603</v>
      </c>
      <c r="H179" s="4" t="s">
        <v>314</v>
      </c>
      <c r="I179" s="4" t="b">
        <v>0</v>
      </c>
      <c r="K179" s="4" t="b">
        <f>IF(COUNTIF($B$2:$B179,B179)&gt;1,TRUE,FALSE)</f>
        <v>1</v>
      </c>
      <c r="L179" s="14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573</v>
      </c>
      <c r="H180" s="4" t="s">
        <v>315</v>
      </c>
      <c r="I180" s="4" t="b">
        <v>1</v>
      </c>
      <c r="J180" s="4" t="s">
        <v>574</v>
      </c>
      <c r="K180" s="4" t="b">
        <f>IF(COUNTIF($B$2:$B180,B180)&gt;1,TRUE,FALSE)</f>
        <v>1</v>
      </c>
      <c r="L180" s="14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590</v>
      </c>
      <c r="H181" s="4" t="s">
        <v>316</v>
      </c>
      <c r="I181" s="4" t="b">
        <v>0</v>
      </c>
      <c r="K181" s="4" t="b">
        <f>IF(COUNTIF($B$2:$B181,B181)&gt;1,TRUE,FALSE)</f>
        <v>0</v>
      </c>
      <c r="L181" s="14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603</v>
      </c>
      <c r="H182" s="4" t="s">
        <v>317</v>
      </c>
      <c r="I182" s="4" t="b">
        <v>0</v>
      </c>
      <c r="K182" s="4" t="b">
        <f>IF(COUNTIF($B$2:$B182,B182)&gt;1,TRUE,FALSE)</f>
        <v>1</v>
      </c>
      <c r="L182" s="14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590</v>
      </c>
      <c r="H183" s="4" t="s">
        <v>318</v>
      </c>
      <c r="I183" s="4" t="b">
        <v>0</v>
      </c>
      <c r="K183" s="4" t="b">
        <f>IF(COUNTIF($B$2:$B183,B183)&gt;1,TRUE,FALSE)</f>
        <v>1</v>
      </c>
      <c r="L183" s="14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590</v>
      </c>
      <c r="H184" s="4" t="s">
        <v>319</v>
      </c>
      <c r="I184" s="4" t="b">
        <v>0</v>
      </c>
      <c r="K184" s="4" t="b">
        <f>IF(COUNTIF($B$2:$B184,B184)&gt;1,TRUE,FALSE)</f>
        <v>1</v>
      </c>
      <c r="L184" s="1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594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s="14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>
      <c r="A186" s="7">
        <v>199</v>
      </c>
      <c r="B186" s="6" t="s">
        <v>46</v>
      </c>
      <c r="C186" s="6" t="s">
        <v>124</v>
      </c>
      <c r="D186" s="4" t="s">
        <v>596</v>
      </c>
      <c r="E186" s="4" t="s">
        <v>596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s="14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590</v>
      </c>
      <c r="H187" s="4" t="s">
        <v>322</v>
      </c>
      <c r="I187" s="4" t="b">
        <v>0</v>
      </c>
      <c r="K187" s="4" t="b">
        <f>IF(COUNTIF($B$2:$B187,B187)&gt;1,TRUE,FALSE)</f>
        <v>1</v>
      </c>
      <c r="L187" s="14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>
      <c r="A188" s="7">
        <v>201</v>
      </c>
      <c r="B188" s="6" t="s">
        <v>34</v>
      </c>
      <c r="C188" s="6" t="s">
        <v>124</v>
      </c>
      <c r="D188" s="4" t="s">
        <v>610</v>
      </c>
      <c r="E188" s="4" t="s">
        <v>34</v>
      </c>
      <c r="F188" s="4">
        <v>2</v>
      </c>
      <c r="G188" s="4" t="s">
        <v>590</v>
      </c>
      <c r="H188" s="4" t="s">
        <v>323</v>
      </c>
      <c r="I188" s="4" t="b">
        <v>0</v>
      </c>
      <c r="K188" s="4" t="b">
        <f>IF(COUNTIF($B$2:$B188,B188)&gt;1,TRUE,FALSE)</f>
        <v>1</v>
      </c>
      <c r="L188" s="14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594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s="14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603</v>
      </c>
      <c r="H190" s="4" t="s">
        <v>325</v>
      </c>
      <c r="I190" s="4" t="b">
        <v>0</v>
      </c>
      <c r="K190" s="4" t="b">
        <f>IF(COUNTIF($B$2:$B190,B190)&gt;1,TRUE,FALSE)</f>
        <v>1</v>
      </c>
      <c r="L190" s="14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590</v>
      </c>
      <c r="H191" s="4" t="s">
        <v>326</v>
      </c>
      <c r="I191" s="4" t="b">
        <v>0</v>
      </c>
      <c r="K191" s="4" t="b">
        <f>IF(COUNTIF($B$2:$B191,B191)&gt;1,TRUE,FALSE)</f>
        <v>1</v>
      </c>
      <c r="L191" s="14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602</v>
      </c>
      <c r="H192" s="4" t="s">
        <v>327</v>
      </c>
      <c r="I192" s="4" t="b">
        <v>0</v>
      </c>
      <c r="K192" s="4" t="b">
        <f>IF(COUNTIF($B$2:$B192,B192)&gt;1,TRUE,FALSE)</f>
        <v>1</v>
      </c>
      <c r="L192" s="14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590</v>
      </c>
      <c r="H193" s="4" t="s">
        <v>328</v>
      </c>
      <c r="I193" s="4" t="b">
        <v>0</v>
      </c>
      <c r="K193" s="4" t="b">
        <f>IF(COUNTIF($B$2:$B193,B193)&gt;1,TRUE,FALSE)</f>
        <v>1</v>
      </c>
      <c r="L193" s="14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>
      <c r="A194" s="7">
        <v>207</v>
      </c>
      <c r="B194" s="6" t="s">
        <v>31</v>
      </c>
      <c r="C194" s="6" t="s">
        <v>124</v>
      </c>
      <c r="D194" s="4" t="s">
        <v>609</v>
      </c>
      <c r="E194" s="4" t="s">
        <v>594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s="1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603</v>
      </c>
      <c r="H195" s="4" t="s">
        <v>330</v>
      </c>
      <c r="I195" s="4" t="b">
        <v>0</v>
      </c>
      <c r="K195" s="4" t="b">
        <f>IF(COUNTIF($B$2:$B195,B195)&gt;1,TRUE,FALSE)</f>
        <v>1</v>
      </c>
      <c r="L195" s="14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>
      <c r="A196" s="7">
        <v>209</v>
      </c>
      <c r="B196" s="6" t="s">
        <v>47</v>
      </c>
      <c r="C196" s="6" t="s">
        <v>124</v>
      </c>
      <c r="D196" s="4" t="s">
        <v>596</v>
      </c>
      <c r="E196" s="4" t="s">
        <v>596</v>
      </c>
      <c r="F196" s="4">
        <v>2</v>
      </c>
      <c r="G196" s="4" t="s">
        <v>593</v>
      </c>
      <c r="H196" s="4" t="s">
        <v>331</v>
      </c>
      <c r="I196" s="4" t="b">
        <v>0</v>
      </c>
      <c r="K196" s="4" t="b">
        <f>IF(COUNTIF($B$2:$B196,B196)&gt;1,TRUE,FALSE)</f>
        <v>1</v>
      </c>
      <c r="L196" s="14" t="str">
        <f t="shared" si="30"/>
        <v>p["tags"].update({"filter":{"type":"list_quoted","subtype":"list_quoted","indent":2,"default_value":[],"docs_url":"https://looker.com/docs/r/lookml/types/filter/tags?version=7.14&amp;lookml=new","has_allowed_values":False,"allowed_values":""}})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{"tags":{"filter":{"type":"list_quoted","subtype":"list_quoted","indent":2,"default_value":[],"docs_url":"https://looker.com/docs/r/lookml/types/filter/tags?version=7.14&amp;lookml=new","has_allowed_values":False,"allowed_values":""}}}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"default_value":[],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s="14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597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s="14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597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s="14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590</v>
      </c>
      <c r="H200" s="4" t="s">
        <v>335</v>
      </c>
      <c r="I200" s="4" t="b">
        <v>0</v>
      </c>
      <c r="K200" s="4" t="b">
        <f>IF(COUNTIF($B$2:$B200,B200)&gt;1,TRUE,FALSE)</f>
        <v>1</v>
      </c>
      <c r="L200" s="14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10" t="s">
        <v>336</v>
      </c>
      <c r="I201" s="4" t="b">
        <v>0</v>
      </c>
      <c r="K201" s="4" t="b">
        <f>IF(COUNTIF($B$2:$B201,B201)&gt;1,TRUE,FALSE)</f>
        <v>0</v>
      </c>
      <c r="L201" s="14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602</v>
      </c>
      <c r="H202" s="4" t="s">
        <v>337</v>
      </c>
      <c r="I202" s="4" t="b">
        <v>0</v>
      </c>
      <c r="K202" s="4" t="b">
        <f>IF(COUNTIF($B$2:$B202,B202)&gt;1,TRUE,FALSE)</f>
        <v>1</v>
      </c>
      <c r="L202" s="14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590</v>
      </c>
      <c r="H203" s="4" t="s">
        <v>338</v>
      </c>
      <c r="I203" s="4" t="b">
        <v>0</v>
      </c>
      <c r="K203" s="4" t="b">
        <f>IF(COUNTIF($B$2:$B203,B203)&gt;1,TRUE,FALSE)</f>
        <v>1</v>
      </c>
      <c r="L203" s="14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603</v>
      </c>
      <c r="H204" s="4" t="s">
        <v>339</v>
      </c>
      <c r="I204" s="4" t="b">
        <v>0</v>
      </c>
      <c r="K204" s="4" t="b">
        <f>IF(COUNTIF($B$2:$B204,B204)&gt;1,TRUE,FALSE)</f>
        <v>1</v>
      </c>
      <c r="L204" s="1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590</v>
      </c>
      <c r="H205" s="4" t="s">
        <v>340</v>
      </c>
      <c r="I205" s="4" t="b">
        <v>0</v>
      </c>
      <c r="K205" s="4" t="b">
        <f>IF(COUNTIF($B$2:$B205,B205)&gt;1,TRUE,FALSE)</f>
        <v>1</v>
      </c>
      <c r="L205" s="14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590</v>
      </c>
      <c r="H206" s="4" t="s">
        <v>341</v>
      </c>
      <c r="I206" s="4" t="b">
        <v>0</v>
      </c>
      <c r="K206" s="4" t="b">
        <f>IF(COUNTIF($B$2:$B206,B206)&gt;1,TRUE,FALSE)</f>
        <v>1</v>
      </c>
      <c r="L206" s="14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594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s="14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>
      <c r="A208" s="7">
        <v>223</v>
      </c>
      <c r="B208" s="6" t="s">
        <v>46</v>
      </c>
      <c r="C208" s="6" t="s">
        <v>125</v>
      </c>
      <c r="D208" s="4" t="s">
        <v>596</v>
      </c>
      <c r="E208" s="4" t="s">
        <v>596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s="14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590</v>
      </c>
      <c r="H209" s="4" t="s">
        <v>344</v>
      </c>
      <c r="I209" s="4" t="b">
        <v>0</v>
      </c>
      <c r="K209" s="4" t="b">
        <f>IF(COUNTIF($B$2:$B209,B209)&gt;1,TRUE,FALSE)</f>
        <v>1</v>
      </c>
      <c r="L209" s="14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594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s="14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603</v>
      </c>
      <c r="H211" s="4" t="s">
        <v>346</v>
      </c>
      <c r="I211" s="4" t="b">
        <v>0</v>
      </c>
      <c r="K211" s="4" t="b">
        <f>IF(COUNTIF($B$2:$B211,B211)&gt;1,TRUE,FALSE)</f>
        <v>1</v>
      </c>
      <c r="L211" s="14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590</v>
      </c>
      <c r="H212" s="4" t="s">
        <v>347</v>
      </c>
      <c r="I212" s="4" t="b">
        <v>0</v>
      </c>
      <c r="K212" s="4" t="b">
        <f>IF(COUNTIF($B$2:$B212,B212)&gt;1,TRUE,FALSE)</f>
        <v>1</v>
      </c>
      <c r="L212" s="14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602</v>
      </c>
      <c r="H213" s="4" t="s">
        <v>348</v>
      </c>
      <c r="I213" s="4" t="b">
        <v>0</v>
      </c>
      <c r="K213" s="4" t="b">
        <f>IF(COUNTIF($B$2:$B213,B213)&gt;1,TRUE,FALSE)</f>
        <v>1</v>
      </c>
      <c r="L213" s="14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590</v>
      </c>
      <c r="H214" s="4" t="s">
        <v>349</v>
      </c>
      <c r="I214" s="4" t="b">
        <v>0</v>
      </c>
      <c r="K214" s="4" t="b">
        <f>IF(COUNTIF($B$2:$B214,B214)&gt;1,TRUE,FALSE)</f>
        <v>1</v>
      </c>
      <c r="L214" s="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>
      <c r="A215" s="7">
        <v>230</v>
      </c>
      <c r="B215" s="6" t="s">
        <v>31</v>
      </c>
      <c r="C215" s="6" t="s">
        <v>125</v>
      </c>
      <c r="D215" s="4" t="s">
        <v>609</v>
      </c>
      <c r="E215" s="4" t="s">
        <v>594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s="14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603</v>
      </c>
      <c r="H216" s="4" t="s">
        <v>351</v>
      </c>
      <c r="I216" s="4" t="b">
        <v>0</v>
      </c>
      <c r="K216" s="4" t="b">
        <f>IF(COUNTIF($B$2:$B216,B216)&gt;1,TRUE,FALSE)</f>
        <v>1</v>
      </c>
      <c r="L216" s="14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>
      <c r="A217" s="7">
        <v>232</v>
      </c>
      <c r="B217" s="6" t="s">
        <v>47</v>
      </c>
      <c r="C217" s="6" t="s">
        <v>125</v>
      </c>
      <c r="D217" s="4" t="s">
        <v>596</v>
      </c>
      <c r="E217" s="4" t="s">
        <v>596</v>
      </c>
      <c r="F217" s="4">
        <v>2</v>
      </c>
      <c r="G217" s="4" t="s">
        <v>593</v>
      </c>
      <c r="H217" s="4" t="s">
        <v>352</v>
      </c>
      <c r="I217" s="4" t="b">
        <v>0</v>
      </c>
      <c r="K217" s="4" t="b">
        <f>IF(COUNTIF($B$2:$B217,B217)&gt;1,TRUE,FALSE)</f>
        <v>1</v>
      </c>
      <c r="L217" s="14" t="str">
        <f t="shared" si="30"/>
        <v>p["tags"].update({"parameter":{"type":"list_quoted","subtype":"list_quoted","indent":2,"default_value":[],"docs_url":"https://looker.com/docs/r/lookml/types/parameter/tags?version=7.14&amp;lookml=new","has_allowed_values":False,"allowed_values":""}})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{"tags":{"parameter":{"type":"list_quoted","subtype":"list_quoted","indent":2,"default_value":[],"docs_url":"https://looker.com/docs/r/lookml/types/parameter/tags?version=7.14&amp;lookml=new","has_allowed_values":False,"allowed_values":""}}}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"default_value":[],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589</v>
      </c>
      <c r="K218" s="4" t="b">
        <f>IF(COUNTIF($B$2:$B218,B218)&gt;1,TRUE,FALSE)</f>
        <v>1</v>
      </c>
      <c r="L218" s="14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597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s="14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597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s="14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590</v>
      </c>
      <c r="H221" s="4" t="s">
        <v>356</v>
      </c>
      <c r="I221" s="4" t="b">
        <v>0</v>
      </c>
      <c r="K221" s="4" t="b">
        <f>IF(COUNTIF($B$2:$B221,B221)&gt;1,TRUE,FALSE)</f>
        <v>1</v>
      </c>
      <c r="L221" s="14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>
      <c r="A222" s="7">
        <v>239</v>
      </c>
      <c r="B222" s="6" t="s">
        <v>66</v>
      </c>
      <c r="C222" s="6" t="s">
        <v>70</v>
      </c>
      <c r="D222" s="4" t="s">
        <v>596</v>
      </c>
      <c r="E222" s="4" t="s">
        <v>596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s="14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s="14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597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s="1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590</v>
      </c>
      <c r="H225" s="4" t="s">
        <v>360</v>
      </c>
      <c r="I225" s="4" t="b">
        <v>0</v>
      </c>
      <c r="K225" s="4" t="b">
        <f>IF(COUNTIF($B$2:$B225,B225)&gt;1,TRUE,FALSE)</f>
        <v>0</v>
      </c>
      <c r="L225" s="14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s="14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607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s="14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>
      <c r="A228" s="7">
        <v>245</v>
      </c>
      <c r="B228" s="6" t="s">
        <v>74</v>
      </c>
      <c r="C228" s="6" t="s">
        <v>70</v>
      </c>
      <c r="D228" s="4" t="s">
        <v>596</v>
      </c>
      <c r="E228" s="4" t="s">
        <v>596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s="14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>
      <c r="A229" s="7">
        <v>246</v>
      </c>
      <c r="B229" s="6" t="s">
        <v>75</v>
      </c>
      <c r="C229" s="6" t="s">
        <v>70</v>
      </c>
      <c r="D229" s="4" t="s">
        <v>596</v>
      </c>
      <c r="E229" s="4" t="s">
        <v>596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s="14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590</v>
      </c>
      <c r="H230" s="4" t="s">
        <v>365</v>
      </c>
      <c r="I230" s="4" t="b">
        <v>0</v>
      </c>
      <c r="K230" s="4" t="b">
        <f>IF(COUNTIF($B$2:$B230,B230)&gt;1,TRUE,FALSE)</f>
        <v>1</v>
      </c>
      <c r="L230" s="14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>
      <c r="A231" s="7">
        <v>248</v>
      </c>
      <c r="B231" s="6" t="s">
        <v>78</v>
      </c>
      <c r="C231" s="6" t="s">
        <v>70</v>
      </c>
      <c r="D231" s="4" t="s">
        <v>596</v>
      </c>
      <c r="E231" s="4" t="s">
        <v>596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s="14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>
      <c r="A232" s="7">
        <v>249</v>
      </c>
      <c r="B232" s="6" t="s">
        <v>34</v>
      </c>
      <c r="C232" s="6" t="s">
        <v>70</v>
      </c>
      <c r="D232" s="4" t="s">
        <v>610</v>
      </c>
      <c r="E232" s="4" t="s">
        <v>34</v>
      </c>
      <c r="F232" s="4">
        <v>3</v>
      </c>
      <c r="G232" s="4" t="s">
        <v>590</v>
      </c>
      <c r="H232" s="4" t="s">
        <v>367</v>
      </c>
      <c r="I232" s="4" t="b">
        <v>0</v>
      </c>
      <c r="K232" s="4" t="b">
        <f>IF(COUNTIF($B$2:$B232,B232)&gt;1,TRUE,FALSE)</f>
        <v>1</v>
      </c>
      <c r="L232" s="14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>
      <c r="A233" s="7">
        <v>250</v>
      </c>
      <c r="B233" s="6" t="s">
        <v>79</v>
      </c>
      <c r="C233" s="6" t="s">
        <v>70</v>
      </c>
      <c r="D233" s="4" t="s">
        <v>610</v>
      </c>
      <c r="E233" s="4" t="s">
        <v>34</v>
      </c>
      <c r="F233" s="4">
        <v>3</v>
      </c>
      <c r="G233" s="4" t="s">
        <v>590</v>
      </c>
      <c r="H233" s="4" t="s">
        <v>368</v>
      </c>
      <c r="I233" s="4" t="b">
        <v>0</v>
      </c>
      <c r="K233" s="4" t="b">
        <f>IF(COUNTIF($B$2:$B233,B233)&gt;1,TRUE,FALSE)</f>
        <v>0</v>
      </c>
      <c r="L233" s="14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>
      <c r="A234" s="7">
        <v>251</v>
      </c>
      <c r="B234" s="6" t="s">
        <v>80</v>
      </c>
      <c r="C234" s="6" t="s">
        <v>70</v>
      </c>
      <c r="D234" s="4" t="s">
        <v>610</v>
      </c>
      <c r="E234" s="4" t="s">
        <v>34</v>
      </c>
      <c r="F234" s="4">
        <v>3</v>
      </c>
      <c r="G234" s="4" t="s">
        <v>590</v>
      </c>
      <c r="H234" s="4" t="s">
        <v>369</v>
      </c>
      <c r="I234" s="4" t="b">
        <v>0</v>
      </c>
      <c r="K234" s="4" t="b">
        <f>IF(COUNTIF($B$2:$B234,B234)&gt;1,TRUE,FALSE)</f>
        <v>0</v>
      </c>
      <c r="L234" s="1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s="14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s="14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602</v>
      </c>
      <c r="H237" s="4" t="s">
        <v>372</v>
      </c>
      <c r="I237" s="4" t="b">
        <v>0</v>
      </c>
      <c r="K237" s="4" t="b">
        <f>IF(COUNTIF($B$2:$B237,B237)&gt;1,TRUE,FALSE)</f>
        <v>0</v>
      </c>
      <c r="L237" s="14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595</v>
      </c>
      <c r="F238" s="4">
        <v>4</v>
      </c>
      <c r="G238" s="4" t="s">
        <v>590</v>
      </c>
      <c r="H238" s="4" t="s">
        <v>373</v>
      </c>
      <c r="I238" s="4" t="b">
        <v>0</v>
      </c>
      <c r="K238" s="4" t="b">
        <f>IF(COUNTIF($B$2:$B238,B238)&gt;1,TRUE,FALSE)</f>
        <v>0</v>
      </c>
      <c r="L238" s="14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s="14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597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s="14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591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s="14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591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s="14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602</v>
      </c>
      <c r="H243" s="4" t="s">
        <v>378</v>
      </c>
      <c r="I243" s="4" t="b">
        <v>0</v>
      </c>
      <c r="K243" s="4" t="b">
        <f>IF(COUNTIF($B$2:$B243,B243)&gt;1,TRUE,FALSE)</f>
        <v>0</v>
      </c>
      <c r="L243" s="14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s="1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s="14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s="14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594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s="14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597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s="14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597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s="14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602</v>
      </c>
      <c r="H250" s="4" t="s">
        <v>385</v>
      </c>
      <c r="I250" s="4" t="b">
        <v>0</v>
      </c>
      <c r="K250" s="4" t="b">
        <f>IF(COUNTIF($B$2:$B250,B250)&gt;1,TRUE,FALSE)</f>
        <v>0</v>
      </c>
      <c r="L250" s="14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600</v>
      </c>
      <c r="H251" s="4" t="s">
        <v>386</v>
      </c>
      <c r="I251" s="4" t="b">
        <v>1</v>
      </c>
      <c r="J251" s="4" t="s">
        <v>601</v>
      </c>
      <c r="K251" s="4" t="b">
        <f>IF(COUNTIF($B$2:$B251,B251)&gt;1,TRUE,FALSE)</f>
        <v>0</v>
      </c>
      <c r="L251" s="14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>
      <c r="A252" s="7">
        <v>273</v>
      </c>
      <c r="B252" s="6" t="s">
        <v>31</v>
      </c>
      <c r="C252" s="6" t="s">
        <v>96</v>
      </c>
      <c r="D252" s="4" t="s">
        <v>609</v>
      </c>
      <c r="E252" s="4" t="s">
        <v>594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s="14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594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s="14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>
      <c r="A254" s="7">
        <v>275</v>
      </c>
      <c r="B254" s="6" t="s">
        <v>34</v>
      </c>
      <c r="C254" s="6" t="s">
        <v>96</v>
      </c>
      <c r="D254" s="4" t="s">
        <v>610</v>
      </c>
      <c r="E254" s="4" t="s">
        <v>34</v>
      </c>
      <c r="F254" s="4">
        <v>3</v>
      </c>
      <c r="G254" s="4" t="s">
        <v>590</v>
      </c>
      <c r="H254" s="4" t="s">
        <v>389</v>
      </c>
      <c r="I254" s="4" t="b">
        <v>0</v>
      </c>
      <c r="K254" s="4" t="b">
        <f>IF(COUNTIF($B$2:$B254,B254)&gt;1,TRUE,FALSE)</f>
        <v>1</v>
      </c>
      <c r="L254" s="1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>
      <c r="A255" s="7">
        <v>276</v>
      </c>
      <c r="B255" s="6" t="s">
        <v>107</v>
      </c>
      <c r="C255" s="6" t="s">
        <v>96</v>
      </c>
      <c r="D255" s="4" t="s">
        <v>610</v>
      </c>
      <c r="E255" s="4" t="s">
        <v>34</v>
      </c>
      <c r="F255" s="4">
        <v>3</v>
      </c>
      <c r="G255" s="4" t="s">
        <v>590</v>
      </c>
      <c r="H255" s="4" t="s">
        <v>390</v>
      </c>
      <c r="I255" s="4" t="b">
        <v>0</v>
      </c>
      <c r="K255" s="4" t="b">
        <f>IF(COUNTIF($B$2:$B255,B255)&gt;1,TRUE,FALSE)</f>
        <v>0</v>
      </c>
      <c r="L255" s="14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>
      <c r="A256" s="7">
        <v>277</v>
      </c>
      <c r="B256" s="6" t="s">
        <v>108</v>
      </c>
      <c r="C256" s="6" t="s">
        <v>96</v>
      </c>
      <c r="D256" s="4" t="s">
        <v>610</v>
      </c>
      <c r="E256" s="4" t="s">
        <v>34</v>
      </c>
      <c r="F256" s="4">
        <v>3</v>
      </c>
      <c r="G256" s="4" t="s">
        <v>590</v>
      </c>
      <c r="H256" s="4" t="s">
        <v>391</v>
      </c>
      <c r="I256" s="4" t="b">
        <v>0</v>
      </c>
      <c r="K256" s="4" t="b">
        <f>IF(COUNTIF($B$2:$B256,B256)&gt;1,TRUE,FALSE)</f>
        <v>0</v>
      </c>
      <c r="L256" s="14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>
      <c r="A257" s="7">
        <v>278</v>
      </c>
      <c r="B257" s="6" t="s">
        <v>100</v>
      </c>
      <c r="C257" s="6" t="s">
        <v>96</v>
      </c>
      <c r="D257" s="4" t="s">
        <v>610</v>
      </c>
      <c r="E257" s="4" t="s">
        <v>34</v>
      </c>
      <c r="F257" s="4">
        <v>3</v>
      </c>
      <c r="G257" s="4" t="s">
        <v>590</v>
      </c>
      <c r="H257" s="4" t="s">
        <v>392</v>
      </c>
      <c r="I257" s="4" t="b">
        <v>0</v>
      </c>
      <c r="K257" s="4" t="b">
        <f>IF(COUNTIF($B$2:$B257,B257)&gt;1,TRUE,FALSE)</f>
        <v>1</v>
      </c>
      <c r="L257" s="14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>
      <c r="A258" s="7">
        <v>279</v>
      </c>
      <c r="B258" s="6" t="s">
        <v>109</v>
      </c>
      <c r="C258" s="6" t="s">
        <v>96</v>
      </c>
      <c r="D258" s="4" t="s">
        <v>610</v>
      </c>
      <c r="E258" s="4" t="s">
        <v>34</v>
      </c>
      <c r="F258" s="4">
        <v>3</v>
      </c>
      <c r="G258" s="4" t="s">
        <v>590</v>
      </c>
      <c r="H258" s="4" t="s">
        <v>393</v>
      </c>
      <c r="I258" s="4" t="b">
        <v>0</v>
      </c>
      <c r="K258" s="4" t="b">
        <f>IF(COUNTIF($B$2:$B258,B258)&gt;1,TRUE,FALSE)</f>
        <v>0</v>
      </c>
      <c r="L258" s="14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s="14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590</v>
      </c>
      <c r="H260" s="4" t="s">
        <v>395</v>
      </c>
      <c r="I260" s="4" t="b">
        <v>0</v>
      </c>
      <c r="K260" s="4" t="b">
        <f>IF(COUNTIF($B$2:$B260,B260)&gt;1,TRUE,FALSE)</f>
        <v>1</v>
      </c>
      <c r="L260" s="14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2</v>
      </c>
      <c r="H261" s="10" t="s">
        <v>396</v>
      </c>
      <c r="I261" s="4" t="b">
        <v>0</v>
      </c>
      <c r="K261" s="4" t="b">
        <f>IF(COUNTIF($B$2:$B261,B261)&gt;1,TRUE,FALSE)</f>
        <v>0</v>
      </c>
      <c r="L261" s="14" t="str">
        <f t="shared" si="39"/>
        <v>p.update({"query":{"aggregate_table":{"type":"anonymous_construct","subtype":"anonymous_construct","indent":2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{"query":{"aggregate_table":{"type":"anonymous_construct","subtype":"anonymous_construct","indent":2,"default_value":"","docs_url":"https://looker.com/docs/r/lookml/types/aggregate_table/query?version=7.14&amp;lookml=new","has_allowed_values":False,"allowed_values":""}}}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"indent":2,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2</v>
      </c>
      <c r="H262" s="4" t="s">
        <v>397</v>
      </c>
      <c r="I262" s="4" t="b">
        <v>0</v>
      </c>
      <c r="K262" s="4" t="b">
        <f>IF(COUNTIF($B$2:$B262,B262)&gt;1,TRUE,FALSE)</f>
        <v>0</v>
      </c>
      <c r="L262" s="14" t="str">
        <f t="shared" si="39"/>
        <v>p.update(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"indent":2,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594</v>
      </c>
      <c r="F263" s="4">
        <v>3</v>
      </c>
      <c r="H263" s="4" t="s">
        <v>398</v>
      </c>
      <c r="I263" s="4" t="b">
        <v>0</v>
      </c>
      <c r="K263" s="4" t="b">
        <f>IF(COUNTIF($B$2:$B263,B263)&gt;1,TRUE,FALSE)</f>
        <v>0</v>
      </c>
      <c r="L263" s="14" t="str">
        <f t="shared" si="39"/>
        <v>p.update({"dimensions":{"query":{"type":"list_unquoted","subtype":"field-ref","indent":3,"default_value":"","docs_url":"https://looker.com/docs/r/lookml/types/query/dimensions?version=7.14&amp;lookml=new","has_allowed_values":False,"allowed_values":""}}})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{"dimensions":{"query":{"type":"list_unquoted","subtype":"field-ref","indent":3,"default_value":"","docs_url":"https://looker.com/docs/r/lookml/types/query/dimensions?version=7.14&amp;lookml=new","has_allowed_values":False,"allowed_values":""}}}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"indent":3,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594</v>
      </c>
      <c r="F264" s="4">
        <v>3</v>
      </c>
      <c r="H264" s="4" t="s">
        <v>399</v>
      </c>
      <c r="I264" s="4" t="b">
        <v>0</v>
      </c>
      <c r="K264" s="4" t="b">
        <f>IF(COUNTIF($B$2:$B264,B264)&gt;1,TRUE,FALSE)</f>
        <v>0</v>
      </c>
      <c r="L264" s="14" t="str">
        <f t="shared" si="39"/>
        <v>p.update({"measures":{"query":{"type":"list_unquoted","subtype":"field-ref","indent":3,"default_value":"","docs_url":"https://looker.com/docs/r/lookml/types/query/measures?version=7.14&amp;lookml=new","has_allowed_values":False,"allowed_values":""}}})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{"measures":{"query":{"type":"list_unquoted","subtype":"field-ref","indent":3,"default_value":"","docs_url":"https://looker.com/docs/r/lookml/types/query/measures?version=7.14&amp;lookml=new","has_allowed_values":False,"allowed_values":""}}}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"indent":3,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3</v>
      </c>
      <c r="G265" s="4" t="s">
        <v>590</v>
      </c>
      <c r="H265" s="4" t="s">
        <v>400</v>
      </c>
      <c r="I265" s="4" t="b">
        <v>0</v>
      </c>
      <c r="K265" s="4" t="b">
        <f>IF(COUNTIF($B$2:$B265,B265)&gt;1,TRUE,FALSE)</f>
        <v>1</v>
      </c>
      <c r="L265" s="14" t="str">
        <f t="shared" si="39"/>
        <v>p["description"].update({"query":{"type":"string","subtype":"possibly-localized-string","indent":3,"default_value":"","docs_url":"https://looker.com/docs/r/lookml/types/query/description?version=7.14&amp;lookml=new","has_allowed_values":False,"allowed_values":""}})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{"description":{"query":{"type":"string","subtype":"possibly-localized-string","indent":3,"default_value":"","docs_url":"https://looker.com/docs/r/lookml/types/query/description?version=7.14&amp;lookml=new","has_allowed_values":False,"allowed_values":""}}}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"indent":3,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3</v>
      </c>
      <c r="G266" s="4" t="s">
        <v>590</v>
      </c>
      <c r="H266" s="4" t="s">
        <v>401</v>
      </c>
      <c r="I266" s="4" t="b">
        <v>0</v>
      </c>
      <c r="K266" s="4" t="b">
        <f>IF(COUNTIF($B$2:$B266,B266)&gt;1,TRUE,FALSE)</f>
        <v>1</v>
      </c>
      <c r="L266" s="14" t="str">
        <f t="shared" si="39"/>
        <v>p["group_label"].update({"query":{"type":"string","subtype":"possibly-localized-string","indent":3,"default_value":"","docs_url":"https://looker.com/docs/r/lookml/types/query/group_label?version=7.14&amp;lookml=new","has_allowed_values":False,"allowed_values":""}})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{"group_label":{"query":{"type":"string","subtype":"possibly-localized-string","indent":3,"default_value":"","docs_url":"https://looker.com/docs/r/lookml/types/query/group_label?version=7.14&amp;lookml=new","has_allowed_values":False,"allowed_values":""}}}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"indent":3,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3</v>
      </c>
      <c r="H267" s="4" t="s">
        <v>402</v>
      </c>
      <c r="I267" s="4" t="b">
        <v>0</v>
      </c>
      <c r="K267" s="4" t="b">
        <f>IF(COUNTIF($B$2:$B267,B267)&gt;1,TRUE,FALSE)</f>
        <v>1</v>
      </c>
      <c r="L267" s="14" t="str">
        <f t="shared" si="39"/>
        <v>p["filters"].update({"query":{"type":"filters","subtype":"identifier","indent":3,"default_value":"","docs_url":"https://looker.com/docs/r/lookml/types/query/filters?version=7.14&amp;lookml=new","has_allowed_values":False,"allowed_values":""}})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{"filters":{"query":{"type":"filters","subtype":"identifier","indent":3,"default_value":"","docs_url":"https://looker.com/docs/r/lookml/types/query/filters?version=7.14&amp;lookml=new","has_allowed_values":False,"allowed_values":""}}}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"indent":3,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597</v>
      </c>
      <c r="F268" s="4">
        <v>3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s="14" t="str">
        <f t="shared" si="39"/>
        <v>p["limit"].update({"query":{"type":"string_unquoted","subtype":"number","indent":3,"default_value":"5000","docs_url":"https://looker.com/docs/r/lookml/types/query/limit?version=7.14&amp;lookml=new","has_allowed_values":False,"allowed_values":""}})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{"limit":{"query":{"type":"string_unquoted","subtype":"number","indent":3,"default_value":"5000","docs_url":"https://looker.com/docs/r/lookml/types/query/limit?version=7.14&amp;lookml=new","has_allowed_values":False,"allowed_values":""}}}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"indent":3,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3</v>
      </c>
      <c r="H269" s="4" t="s">
        <v>404</v>
      </c>
      <c r="I269" s="4" t="b">
        <v>0</v>
      </c>
      <c r="K269" s="4" t="b">
        <f>IF(COUNTIF($B$2:$B269,B269)&gt;1,TRUE,FALSE)</f>
        <v>1</v>
      </c>
      <c r="L269" s="14" t="str">
        <f t="shared" si="39"/>
        <v>p["sorts"].update({"query":{"type":"sorts","subtype":"field-ref-to-sort-map","indent":3,"default_value":"","docs_url":"https://looker.com/docs/r/lookml/types/query/sorts?version=7.14&amp;lookml=new","has_allowed_values":False,"allowed_values":""}})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{"sorts":{"query":{"type":"sorts","subtype":"field-ref-to-sort-map","indent":3,"default_value":"","docs_url":"https://looker.com/docs/r/lookml/types/query/sorts?version=7.14&amp;lookml=new","has_allowed_values":False,"allowed_values":""}}}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"indent":3,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3</v>
      </c>
      <c r="G270" s="4" t="s">
        <v>590</v>
      </c>
      <c r="H270" s="4" t="s">
        <v>405</v>
      </c>
      <c r="I270" s="4" t="b">
        <v>0</v>
      </c>
      <c r="K270" s="4" t="b">
        <f>IF(COUNTIF($B$2:$B270,B270)&gt;1,TRUE,FALSE)</f>
        <v>1</v>
      </c>
      <c r="L270" s="14" t="str">
        <f t="shared" si="39"/>
        <v>p["label"].update({"query":{"type":"string","subtype":"possibly-localized-string","indent":3,"default_value":"","docs_url":"https://looker.com/docs/r/lookml/types/query/label?version=7.14&amp;lookml=new","has_allowed_values":False,"allowed_values":""}})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{"label":{"query":{"type":"string","subtype":"possibly-localized-string","indent":3,"default_value":"","docs_url":"https://looker.com/docs/r/lookml/types/query/label?version=7.14&amp;lookml=new","has_allowed_values":False,"allowed_values":""}}}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"indent":3,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594</v>
      </c>
      <c r="F271" s="4">
        <v>3</v>
      </c>
      <c r="H271" s="4" t="s">
        <v>406</v>
      </c>
      <c r="I271" s="4" t="b">
        <v>0</v>
      </c>
      <c r="K271" s="4" t="b">
        <f>IF(COUNTIF($B$2:$B271,B271)&gt;1,TRUE,FALSE)</f>
        <v>0</v>
      </c>
      <c r="L271" s="14" t="str">
        <f t="shared" si="39"/>
        <v>p.update({"pivots":{"query":{"type":"list_unquoted","subtype":"field-ref","indent":3,"default_value":"","docs_url":"https://looker.com/docs/r/lookml/types/query/pivots?version=7.14&amp;lookml=new","has_allowed_values":False,"allowed_values":""}}})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{"pivots":{"query":{"type":"list_unquoted","subtype":"field-ref","indent":3,"default_value":"","docs_url":"https://looker.com/docs/r/lookml/types/query/pivots?version=7.14&amp;lookml=new","has_allowed_values":False,"allowed_values":""}}}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"indent":3,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3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s="14" t="str">
        <f t="shared" si="39"/>
        <v>p["timezone"].update(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"indent":3,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590</v>
      </c>
      <c r="H273" s="4" t="s">
        <v>408</v>
      </c>
      <c r="I273" s="4" t="b">
        <v>0</v>
      </c>
      <c r="K273" s="4" t="b">
        <f>IF(COUNTIF($B$2:$B273,B273)&gt;1,TRUE,FALSE)</f>
        <v>1</v>
      </c>
      <c r="L273" s="14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>
      <c r="A274" s="7">
        <v>301</v>
      </c>
      <c r="B274" s="6" t="s">
        <v>80</v>
      </c>
      <c r="C274" s="6" t="s">
        <v>113</v>
      </c>
      <c r="D274" s="4" t="s">
        <v>610</v>
      </c>
      <c r="E274" s="4" t="s">
        <v>34</v>
      </c>
      <c r="F274" s="4">
        <v>3</v>
      </c>
      <c r="G274" s="4" t="s">
        <v>590</v>
      </c>
      <c r="H274" s="4" t="s">
        <v>409</v>
      </c>
      <c r="I274" s="4" t="b">
        <v>0</v>
      </c>
      <c r="K274" s="4" t="b">
        <f>IF(COUNTIF($B$2:$B274,B274)&gt;1,TRUE,FALSE)</f>
        <v>1</v>
      </c>
      <c r="L274" s="1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597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s="14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591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s="14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590</v>
      </c>
      <c r="H277" s="4" t="s">
        <v>411</v>
      </c>
      <c r="I277" s="4" t="b">
        <v>0</v>
      </c>
      <c r="K277" s="4" t="b">
        <f>IF(COUNTIF($B$2:$B277,B277)&gt;1,TRUE,FALSE)</f>
        <v>1</v>
      </c>
      <c r="L277" s="14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590</v>
      </c>
      <c r="H278" s="4" t="s">
        <v>412</v>
      </c>
      <c r="I278" s="4" t="b">
        <v>0</v>
      </c>
      <c r="K278" s="4" t="b">
        <f>IF(COUNTIF($B$2:$B278,B278)&gt;1,TRUE,FALSE)</f>
        <v>0</v>
      </c>
      <c r="L278" s="14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590</v>
      </c>
      <c r="H279" s="4" t="s">
        <v>413</v>
      </c>
      <c r="I279" s="4" t="b">
        <v>0</v>
      </c>
      <c r="K279" s="4" t="b">
        <f>IF(COUNTIF($B$2:$B279,B279)&gt;1,TRUE,FALSE)</f>
        <v>0</v>
      </c>
      <c r="L279" s="14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s="14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602</v>
      </c>
      <c r="H281" s="4" t="s">
        <v>415</v>
      </c>
      <c r="I281" s="4" t="b">
        <v>0</v>
      </c>
      <c r="K281" s="4" t="b">
        <f>IF(COUNTIF($B$2:$B281,B281)&gt;1,TRUE,FALSE)</f>
        <v>0</v>
      </c>
      <c r="L281" s="14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602</v>
      </c>
      <c r="H282" s="4" t="s">
        <v>416</v>
      </c>
      <c r="I282" s="4" t="b">
        <v>0</v>
      </c>
      <c r="K282" s="4" t="b">
        <f>IF(COUNTIF($B$2:$B282,B282)&gt;1,TRUE,FALSE)</f>
        <v>0</v>
      </c>
      <c r="L282" s="14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602</v>
      </c>
      <c r="H283" s="4" t="s">
        <v>417</v>
      </c>
      <c r="I283" s="4" t="b">
        <v>0</v>
      </c>
      <c r="K283" s="4" t="b">
        <f>IF(COUNTIF($B$2:$B283,B283)&gt;1,TRUE,FALSE)</f>
        <v>0</v>
      </c>
      <c r="L283" s="14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602</v>
      </c>
      <c r="H284" s="4" t="s">
        <v>418</v>
      </c>
      <c r="I284" s="4" t="b">
        <v>0</v>
      </c>
      <c r="K284" s="4" t="b">
        <f>IF(COUNTIF($B$2:$B284,B284)&gt;1,TRUE,FALSE)</f>
        <v>0</v>
      </c>
      <c r="L284" s="1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602</v>
      </c>
      <c r="H285" s="4" t="s">
        <v>419</v>
      </c>
      <c r="I285" s="4" t="b">
        <v>0</v>
      </c>
      <c r="K285" s="4" t="b">
        <f>IF(COUNTIF($B$2:$B285,B285)&gt;1,TRUE,FALSE)</f>
        <v>0</v>
      </c>
      <c r="L285" s="14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>
      <c r="A286" s="7">
        <v>316</v>
      </c>
      <c r="B286" s="6" t="s">
        <v>501</v>
      </c>
      <c r="C286" s="6" t="s">
        <v>115</v>
      </c>
      <c r="D286" s="4" t="s">
        <v>596</v>
      </c>
      <c r="E286" s="4" t="s">
        <v>596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s="14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>
      <c r="A287" s="7">
        <v>317</v>
      </c>
      <c r="B287" s="6" t="s">
        <v>502</v>
      </c>
      <c r="C287" s="6" t="s">
        <v>115</v>
      </c>
      <c r="D287" s="4" t="s">
        <v>596</v>
      </c>
      <c r="E287" s="4" t="s">
        <v>596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s="14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>
      <c r="A288" s="7">
        <v>318</v>
      </c>
      <c r="B288" s="6" t="s">
        <v>503</v>
      </c>
      <c r="C288" s="6" t="s">
        <v>115</v>
      </c>
      <c r="D288" s="4" t="s">
        <v>596</v>
      </c>
      <c r="E288" s="4" t="s">
        <v>596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s="14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>
      <c r="A289" s="7">
        <v>319</v>
      </c>
      <c r="B289" s="6" t="s">
        <v>504</v>
      </c>
      <c r="C289" s="6" t="s">
        <v>115</v>
      </c>
      <c r="D289" s="4" t="s">
        <v>596</v>
      </c>
      <c r="E289" s="4" t="s">
        <v>596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s="14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>
      <c r="A290" s="7">
        <v>320</v>
      </c>
      <c r="B290" s="6" t="s">
        <v>505</v>
      </c>
      <c r="C290" s="6" t="s">
        <v>115</v>
      </c>
      <c r="D290" s="4" t="s">
        <v>596</v>
      </c>
      <c r="E290" s="4" t="s">
        <v>596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s="14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590</v>
      </c>
      <c r="H291" s="4" t="s">
        <v>425</v>
      </c>
      <c r="I291" s="4" t="b">
        <v>0</v>
      </c>
      <c r="K291" s="4" t="b">
        <f>IF(COUNTIF($B$2:$B291,B291)&gt;1,TRUE,FALSE)</f>
        <v>0</v>
      </c>
      <c r="L291" s="14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590</v>
      </c>
      <c r="H292" s="4" t="s">
        <v>426</v>
      </c>
      <c r="I292" s="4" t="b">
        <v>0</v>
      </c>
      <c r="K292" s="4" t="b">
        <f>IF(COUNTIF($B$2:$B292,B292)&gt;1,TRUE,FALSE)</f>
        <v>1</v>
      </c>
      <c r="L292" s="14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590</v>
      </c>
      <c r="H293" s="4" t="s">
        <v>427</v>
      </c>
      <c r="I293" s="4" t="b">
        <v>0</v>
      </c>
      <c r="K293" s="4" t="b">
        <f>IF(COUNTIF($B$2:$B293,B293)&gt;1,TRUE,FALSE)</f>
        <v>1</v>
      </c>
      <c r="L293" s="14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590</v>
      </c>
      <c r="H294" s="4" t="s">
        <v>428</v>
      </c>
      <c r="I294" s="4" t="b">
        <v>0</v>
      </c>
      <c r="K294" s="4" t="b">
        <f>IF(COUNTIF($B$2:$B294,B294)&gt;1,TRUE,FALSE)</f>
        <v>0</v>
      </c>
      <c r="L294" s="1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>
      <c r="A295" s="7">
        <v>327</v>
      </c>
      <c r="B295" s="6" t="s">
        <v>508</v>
      </c>
      <c r="C295" s="6" t="s">
        <v>127</v>
      </c>
      <c r="D295" s="4" t="s">
        <v>596</v>
      </c>
      <c r="E295" s="4" t="s">
        <v>596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s="14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590</v>
      </c>
      <c r="H296" s="4" t="s">
        <v>430</v>
      </c>
      <c r="I296" s="4" t="b">
        <v>0</v>
      </c>
      <c r="K296" s="4" t="b">
        <f>IF(COUNTIF($B$2:$B296,B296)&gt;1,TRUE,FALSE)</f>
        <v>1</v>
      </c>
      <c r="L296" s="14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590</v>
      </c>
      <c r="H297" s="4" t="s">
        <v>431</v>
      </c>
      <c r="I297" s="4" t="b">
        <v>0</v>
      </c>
      <c r="K297" s="4" t="b">
        <f>IF(COUNTIF($B$2:$B297,B297)&gt;1,TRUE,FALSE)</f>
        <v>1</v>
      </c>
      <c r="L297" s="14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590</v>
      </c>
      <c r="H298" s="4" t="s">
        <v>432</v>
      </c>
      <c r="I298" s="4" t="b">
        <v>0</v>
      </c>
      <c r="K298" s="4" t="b">
        <f>IF(COUNTIF($B$2:$B298,B298)&gt;1,TRUE,FALSE)</f>
        <v>1</v>
      </c>
      <c r="L298" s="14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590</v>
      </c>
      <c r="H299" s="4" t="s">
        <v>433</v>
      </c>
      <c r="I299" s="4" t="b">
        <v>0</v>
      </c>
      <c r="K299" s="4" t="b">
        <f>IF(COUNTIF($B$2:$B299,B299)&gt;1,TRUE,FALSE)</f>
        <v>0</v>
      </c>
      <c r="L299" s="14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590</v>
      </c>
      <c r="H300" s="4" t="s">
        <v>434</v>
      </c>
      <c r="I300" s="4" t="b">
        <v>0</v>
      </c>
      <c r="K300" s="4" t="b">
        <f>IF(COUNTIF($B$2:$B300,B300)&gt;1,TRUE,FALSE)</f>
        <v>0</v>
      </c>
      <c r="L300" s="14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540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s="14" t="str">
        <f t="shared" si="39"/>
        <v>p.update({"param":{"action":{"type":"anonymous_construct_plural","subtype":"anonymous_construct","indent":3,"default_value":"","docs_url":"https://looker.com/docs/r/lookml/types/action/param?version=7.14&amp;lookml=new","has_allowed_values":False,"allowed_values":""}}})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{"param":{"action":{"type":"anonymous_construct_plural","subtype":"anonymous_construct","indent":3,"default_value":"","docs_url":"https://looker.com/docs/r/lookml/types/action/param?version=7.14&amp;lookml=new","has_allowed_values":False,"allowed_values":""}}}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"type":"anonymous_construct_plural",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s="14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s="14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4</v>
      </c>
      <c r="G304" s="4" t="s">
        <v>590</v>
      </c>
      <c r="H304" s="4" t="s">
        <v>438</v>
      </c>
      <c r="I304" s="4" t="b">
        <v>0</v>
      </c>
      <c r="K304" s="4" t="b">
        <f>IF(COUNTIF($B$2:$B304,B304)&gt;1,TRUE,FALSE)</f>
        <v>0</v>
      </c>
      <c r="L304" s="14" t="str">
        <f t="shared" si="39"/>
        <v>p.update({"name":{"form_param":{"type":"string","subtype":"string","indent":4,"default_value":"","docs_url":"https://looker.com/docs/r/lookml/types/form_param/name?version=7.14&amp;lookml=new","has_allowed_values":False,"allowed_values":""}}})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{"name":{"form_param":{"type":"string","subtype":"string","indent":4,"default_value":"","docs_url":"https://looker.com/docs/r/lookml/types/form_param/name?version=7.14&amp;lookml=new","has_allowed_values":False,"allowed_values":""}}}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"indent":4,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s="14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590</v>
      </c>
      <c r="H306" s="4" t="s">
        <v>440</v>
      </c>
      <c r="I306" s="4" t="b">
        <v>0</v>
      </c>
      <c r="K306" s="4" t="b">
        <f>IF(COUNTIF($B$2:$B306,B306)&gt;1,TRUE,FALSE)</f>
        <v>1</v>
      </c>
      <c r="L306" s="14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s="14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602</v>
      </c>
      <c r="H308" s="4" t="s">
        <v>442</v>
      </c>
      <c r="I308" s="4" t="b">
        <v>0</v>
      </c>
      <c r="K308" s="4" t="b">
        <f>IF(COUNTIF($B$2:$B308,B308)&gt;1,TRUE,FALSE)</f>
        <v>0</v>
      </c>
      <c r="L308" s="14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590</v>
      </c>
      <c r="H309" s="4" t="s">
        <v>443</v>
      </c>
      <c r="I309" s="4" t="b">
        <v>0</v>
      </c>
      <c r="K309" s="4" t="b">
        <f>IF(COUNTIF($B$2:$B309,B309)&gt;1,TRUE,FALSE)</f>
        <v>1</v>
      </c>
      <c r="L309" s="14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590</v>
      </c>
      <c r="H310" s="4" t="s">
        <v>444</v>
      </c>
      <c r="I310" s="4" t="b">
        <v>0</v>
      </c>
      <c r="K310" s="4" t="b">
        <f>IF(COUNTIF($B$2:$B310,B310)&gt;1,TRUE,FALSE)</f>
        <v>0</v>
      </c>
      <c r="L310" s="14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590</v>
      </c>
      <c r="H311" s="4" t="s">
        <v>445</v>
      </c>
      <c r="I311" s="4" t="b">
        <v>0</v>
      </c>
      <c r="K311" s="4" t="b">
        <f>IF(COUNTIF($B$2:$B311,B311)&gt;1,TRUE,FALSE)</f>
        <v>1</v>
      </c>
      <c r="L311" s="14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590</v>
      </c>
      <c r="H312" s="4" t="s">
        <v>446</v>
      </c>
      <c r="I312" s="4" t="b">
        <v>0</v>
      </c>
      <c r="K312" s="4" t="b">
        <f>IF(COUNTIF($B$2:$B312,B312)&gt;1,TRUE,FALSE)</f>
        <v>1</v>
      </c>
      <c r="L312" s="14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s="14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590</v>
      </c>
      <c r="H314" s="4" t="s">
        <v>448</v>
      </c>
      <c r="I314" s="4" t="b">
        <v>0</v>
      </c>
      <c r="K314" s="4" t="b">
        <f>IF(COUNTIF($B$2:$B314,B314)&gt;1,TRUE,FALSE)</f>
        <v>0</v>
      </c>
      <c r="L314" s="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597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s="14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>
      <c r="A316" s="7">
        <v>360</v>
      </c>
      <c r="B316" s="6" t="s">
        <v>34</v>
      </c>
      <c r="C316" s="3" t="s">
        <v>130</v>
      </c>
      <c r="D316" s="4" t="s">
        <v>610</v>
      </c>
      <c r="E316" s="4" t="s">
        <v>34</v>
      </c>
      <c r="F316" s="4">
        <v>5</v>
      </c>
      <c r="G316" s="4" t="s">
        <v>590</v>
      </c>
      <c r="H316" s="4" t="s">
        <v>450</v>
      </c>
      <c r="I316" s="4" t="b">
        <v>0</v>
      </c>
      <c r="K316" s="4" t="b">
        <f>IF(COUNTIF($B$2:$B316,B316)&gt;1,TRUE,FALSE)</f>
        <v>1</v>
      </c>
      <c r="L316" s="14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597</v>
      </c>
      <c r="F317" s="4">
        <v>5</v>
      </c>
      <c r="H317" s="4" t="s">
        <v>451</v>
      </c>
      <c r="I317" s="4" t="b">
        <v>0</v>
      </c>
      <c r="K317" s="4" t="b">
        <f>IF(COUNTIF($B$2:$B317,B317)&gt;1,TRUE,FALSE)</f>
        <v>0</v>
      </c>
      <c r="L317" s="14" t="str">
        <f t="shared" si="39"/>
        <v>p.update({"from_field":{"bind_filters":{"type":"string_unquoted","subtype":"field-ref","indent":5,"default_value":"","docs_url":"https://looker.com/docs/r/lookml/types/bind_filters/from_field?version=7.14&amp;lookml=new","has_allowed_values":False,"allowed_values":""}}})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{"from_field":{"bind_filters":{"type":"string_unquoted","subtype":"field-ref","indent":5,"default_value":"","docs_url":"https://looker.com/docs/r/lookml/types/bind_filters/from_field?version=7.14&amp;lookml=new","has_allowed_values":False,"allowed_values":""}}}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"indent":5,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597</v>
      </c>
      <c r="F318" s="4">
        <v>5</v>
      </c>
      <c r="H318" s="4" t="s">
        <v>452</v>
      </c>
      <c r="I318" s="4" t="b">
        <v>0</v>
      </c>
      <c r="K318" s="4" t="b">
        <f>IF(COUNTIF($B$2:$B318,B318)&gt;1,TRUE,FALSE)</f>
        <v>0</v>
      </c>
      <c r="L318" s="14" t="str">
        <f t="shared" si="39"/>
        <v>p.update({"to_field":{"bind_filters":{"type":"string_unquoted","subtype":"field-ref","indent":5,"default_value":"","docs_url":"https://looker.com/docs/r/lookml/types/bind_filters/to_field?version=7.14&amp;lookml=new","has_allowed_values":False,"allowed_values":""}}})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{"to_field":{"bind_filters":{"type":"string_unquoted","subtype":"field-ref","indent":5,"default_value":"","docs_url":"https://looker.com/docs/r/lookml/types/bind_filters/to_field?version=7.14&amp;lookml=new","has_allowed_values":False,"allowed_values":""}}}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"indent":5,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590</v>
      </c>
      <c r="H319" s="10" t="s">
        <v>453</v>
      </c>
      <c r="I319" s="4" t="b">
        <v>0</v>
      </c>
      <c r="K319" s="4" t="b">
        <f>IF(COUNTIF($B$2:$B319,B319)&gt;1,TRUE,FALSE)</f>
        <v>0</v>
      </c>
      <c r="L319" s="14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590</v>
      </c>
      <c r="H320" s="4" t="s">
        <v>454</v>
      </c>
      <c r="I320" s="4" t="b">
        <v>0</v>
      </c>
      <c r="K320" s="4" t="b">
        <f>IF(COUNTIF($B$2:$B320,B320)&gt;1,TRUE,FALSE)</f>
        <v>0</v>
      </c>
      <c r="L320" s="14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590</v>
      </c>
      <c r="H321" s="4" t="s">
        <v>455</v>
      </c>
      <c r="I321" s="4" t="b">
        <v>0</v>
      </c>
      <c r="K321" s="4" t="b">
        <f>IF(COUNTIF($B$2:$B321,B321)&gt;1,TRUE,FALSE)</f>
        <v>1</v>
      </c>
      <c r="L321" s="14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s="14" t="str">
        <f t="shared" ref="L322:L347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590</v>
      </c>
      <c r="H323" s="4" t="s">
        <v>457</v>
      </c>
      <c r="I323" s="4" t="b">
        <v>0</v>
      </c>
      <c r="K323" s="4" t="b">
        <f>IF(COUNTIF($B$2:$B323,B323)&gt;1,TRUE,FALSE)</f>
        <v>1</v>
      </c>
      <c r="L323" s="14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597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s="1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597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s="14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s="14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590</v>
      </c>
      <c r="H327" s="4" t="s">
        <v>461</v>
      </c>
      <c r="I327" s="4" t="b">
        <v>0</v>
      </c>
      <c r="K327" s="4" t="b">
        <f>IF(COUNTIF($B$2:$B327,B327)&gt;1,TRUE,FALSE)</f>
        <v>0</v>
      </c>
      <c r="L327" s="14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590</v>
      </c>
      <c r="H328" s="4" t="s">
        <v>462</v>
      </c>
      <c r="I328" s="4" t="b">
        <v>0</v>
      </c>
      <c r="K328" s="4" t="b">
        <f>IF(COUNTIF($B$2:$B328,B328)&gt;1,TRUE,FALSE)</f>
        <v>0</v>
      </c>
      <c r="L328" s="14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590</v>
      </c>
      <c r="H329" s="4" t="s">
        <v>463</v>
      </c>
      <c r="I329" s="4" t="b">
        <v>0</v>
      </c>
      <c r="K329" s="4" t="b">
        <f>IF(COUNTIF($B$2:$B329,B329)&gt;1,TRUE,FALSE)</f>
        <v>1</v>
      </c>
      <c r="L329" s="14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597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s="14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591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s="14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590</v>
      </c>
      <c r="H332" s="4" t="s">
        <v>466</v>
      </c>
      <c r="I332" s="4" t="b">
        <v>0</v>
      </c>
      <c r="K332" s="4" t="b">
        <f>IF(COUNTIF($B$2:$B332,B332)&gt;1,TRUE,FALSE)</f>
        <v>0</v>
      </c>
      <c r="L332" s="14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>
      <c r="A333" s="7">
        <v>385</v>
      </c>
      <c r="B333" s="6" t="s">
        <v>532</v>
      </c>
      <c r="C333" s="3" t="s">
        <v>134</v>
      </c>
      <c r="D333" s="4" t="s">
        <v>610</v>
      </c>
      <c r="E333" s="4" t="s">
        <v>34</v>
      </c>
      <c r="F333" s="4">
        <v>1</v>
      </c>
      <c r="G333" s="4" t="s">
        <v>590</v>
      </c>
      <c r="H333" s="4" t="s">
        <v>467</v>
      </c>
      <c r="I333" s="4" t="b">
        <v>0</v>
      </c>
      <c r="K333" s="4" t="b">
        <f>IF(COUNTIF($B$2:$B333,B333)&gt;1,TRUE,FALSE)</f>
        <v>0</v>
      </c>
      <c r="L333" s="14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590</v>
      </c>
      <c r="H334" s="4" t="s">
        <v>468</v>
      </c>
      <c r="I334" s="4" t="b">
        <v>0</v>
      </c>
      <c r="K334" s="4" t="b">
        <f>IF(COUNTIF($B$2:$B334,B334)&gt;1,TRUE,FALSE)</f>
        <v>1</v>
      </c>
      <c r="L334" s="1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590</v>
      </c>
      <c r="H335" s="4" t="s">
        <v>469</v>
      </c>
      <c r="I335" s="4" t="b">
        <v>0</v>
      </c>
      <c r="K335" s="4" t="b">
        <f>IF(COUNTIF($B$2:$B335,B335)&gt;1,TRUE,FALSE)</f>
        <v>1</v>
      </c>
      <c r="L335" s="14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590</v>
      </c>
      <c r="H336" s="4" t="s">
        <v>470</v>
      </c>
      <c r="I336" s="4" t="b">
        <v>0</v>
      </c>
      <c r="K336" s="4" t="b">
        <f>IF(COUNTIF($B$2:$B336,B336)&gt;1,TRUE,FALSE)</f>
        <v>1</v>
      </c>
      <c r="L336" s="14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602</v>
      </c>
      <c r="H337" s="4" t="s">
        <v>471</v>
      </c>
      <c r="I337" s="4" t="b">
        <v>0</v>
      </c>
      <c r="K337" s="4" t="b">
        <f>IF(COUNTIF($B$2:$B337,B337)&gt;1,TRUE,FALSE)</f>
        <v>0</v>
      </c>
      <c r="L337" s="14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594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s="14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590</v>
      </c>
      <c r="H339" s="5" t="s">
        <v>447</v>
      </c>
      <c r="I339" s="4" t="b">
        <v>0</v>
      </c>
      <c r="K339" s="4" t="b">
        <f>IF(COUNTIF($B$2:$B339,B339)&gt;1,TRUE,FALSE)</f>
        <v>1</v>
      </c>
      <c r="L339" s="14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customHeight="1">
      <c r="A340" s="7">
        <v>398</v>
      </c>
      <c r="B340" s="6" t="s">
        <v>34</v>
      </c>
      <c r="C340" s="4" t="s">
        <v>517</v>
      </c>
      <c r="D340" s="4" t="s">
        <v>610</v>
      </c>
      <c r="E340" s="4" t="s">
        <v>34</v>
      </c>
      <c r="F340" s="4">
        <v>5</v>
      </c>
      <c r="G340" s="4" t="s">
        <v>590</v>
      </c>
      <c r="H340" s="5" t="s">
        <v>447</v>
      </c>
      <c r="I340" s="4" t="b">
        <v>0</v>
      </c>
      <c r="K340" s="4" t="b">
        <f>IF(COUNTIF($B$2:$B340,B340)&gt;1,TRUE,FALSE)</f>
        <v>1</v>
      </c>
      <c r="L340" s="14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customHeight="1">
      <c r="A341" s="7">
        <v>401</v>
      </c>
      <c r="B341" s="6" t="s">
        <v>121</v>
      </c>
      <c r="C341" s="4" t="s">
        <v>473</v>
      </c>
      <c r="D341" s="4" t="s">
        <v>596</v>
      </c>
      <c r="E341" s="4" t="s">
        <v>596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s="14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customHeight="1">
      <c r="A342" s="7">
        <v>402</v>
      </c>
      <c r="B342" s="6" t="s">
        <v>599</v>
      </c>
      <c r="C342" s="4" t="s">
        <v>473</v>
      </c>
      <c r="D342" s="4" t="s">
        <v>543</v>
      </c>
      <c r="E342" s="1" t="s">
        <v>597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s="14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customHeight="1">
      <c r="A343" s="7">
        <v>405</v>
      </c>
      <c r="B343" s="4" t="s">
        <v>548</v>
      </c>
      <c r="C343" s="4" t="s">
        <v>67</v>
      </c>
      <c r="D343" s="4" t="s">
        <v>610</v>
      </c>
      <c r="E343" s="4" t="s">
        <v>34</v>
      </c>
      <c r="F343" s="4">
        <v>3</v>
      </c>
      <c r="G343" s="4" t="s">
        <v>590</v>
      </c>
      <c r="H343" s="5" t="s">
        <v>544</v>
      </c>
      <c r="I343" s="4" t="b">
        <v>0</v>
      </c>
      <c r="K343" s="4" t="b">
        <f>IF(COUNTIF($B$2:$B343,B343)&gt;1,TRUE,FALSE)</f>
        <v>0</v>
      </c>
      <c r="L343" s="14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customHeight="1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590</v>
      </c>
      <c r="H344" s="4" t="s">
        <v>153</v>
      </c>
      <c r="I344" s="4" t="b">
        <v>0</v>
      </c>
      <c r="K344" s="4" t="b">
        <f>IF(COUNTIF($B$2:$B344,B344)&gt;1,TRUE,FALSE)</f>
        <v>1</v>
      </c>
      <c r="L344" s="1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customHeight="1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590</v>
      </c>
      <c r="H345" s="4" t="s">
        <v>153</v>
      </c>
      <c r="I345" s="4" t="b">
        <v>0</v>
      </c>
      <c r="K345" s="4" t="b">
        <f>IF(COUNTIF($B$2:$B345,B345)&gt;1,TRUE,FALSE)</f>
        <v>0</v>
      </c>
      <c r="L345" s="14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customHeight="1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591</v>
      </c>
      <c r="F346" s="4">
        <v>1</v>
      </c>
      <c r="H346" s="10" t="s">
        <v>153</v>
      </c>
      <c r="I346" s="4" t="b">
        <v>0</v>
      </c>
      <c r="K346" s="4" t="b">
        <f>IF(COUNTIF($B$2:$B346,B346)&gt;1,TRUE,FALSE)</f>
        <v>0</v>
      </c>
      <c r="L346" s="14" t="str">
        <f t="shared" si="48"/>
        <v>p.update({"override_constant":{"remote_dependency":{"type":"named_construct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{"override_constant":{"remote_dependency":{"type":"named_construct","subtype":"constant-ref","indent":1,"default_value":"","docs_url":"https://looker.com/docs/r/lookml/types/manifest/remote_dependency?version=7.14&amp;lookml=new","has_allowed_values":False,"allowed_values":""}}}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"type":"named_construct",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customHeight="1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590</v>
      </c>
      <c r="H347" s="5" t="s">
        <v>549</v>
      </c>
      <c r="I347" s="4" t="b">
        <v>0</v>
      </c>
      <c r="K347" s="4" t="b">
        <f>IF(COUNTIF($B$2:$B347,B347)&gt;1,TRUE,FALSE)</f>
        <v>0</v>
      </c>
      <c r="L347" s="14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customHeight="1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590</v>
      </c>
      <c r="H348" s="4" t="s">
        <v>606</v>
      </c>
      <c r="I348" s="4" t="b">
        <v>0</v>
      </c>
      <c r="K348" s="4" t="b">
        <f>IF(COUNTIF($B$2:$B348,B348)&gt;1,TRUE,FALSE)</f>
        <v>1</v>
      </c>
      <c r="L348" s="14" t="str">
        <f t="shared" ref="L348:L361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customHeight="1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590</v>
      </c>
      <c r="H349" s="10" t="s">
        <v>606</v>
      </c>
      <c r="I349" s="4" t="b">
        <v>0</v>
      </c>
      <c r="K349" s="4" t="b">
        <f>IF(COUNTIF($B$2:$B349,B349)&gt;1,TRUE,FALSE)</f>
        <v>1</v>
      </c>
      <c r="L349" s="14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customHeight="1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590</v>
      </c>
      <c r="H350" s="10" t="s">
        <v>606</v>
      </c>
      <c r="I350" s="4" t="b">
        <v>0</v>
      </c>
      <c r="K350" s="4" t="b">
        <f>IF(COUNTIF($B$2:$B350,B350)&gt;1,TRUE,FALSE)</f>
        <v>1</v>
      </c>
      <c r="L350" s="14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customHeight="1">
      <c r="A351" s="7">
        <v>417</v>
      </c>
      <c r="B351" s="4" t="s">
        <v>614</v>
      </c>
      <c r="C351" s="6" t="s">
        <v>115</v>
      </c>
      <c r="D351" s="4" t="s">
        <v>596</v>
      </c>
      <c r="E351" s="4" t="s">
        <v>596</v>
      </c>
      <c r="F351" s="4">
        <v>3</v>
      </c>
      <c r="H351" s="4" t="s">
        <v>613</v>
      </c>
      <c r="I351" s="4" t="b">
        <v>0</v>
      </c>
      <c r="K351" s="4" t="b">
        <f>IF(COUNTIF($B$2:$B351,#REF!)&gt;1,TRUE,FALSE)</f>
        <v>0</v>
      </c>
      <c r="L351" s="14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customHeight="1">
      <c r="A352" s="7">
        <v>418</v>
      </c>
      <c r="B352" s="4" t="s">
        <v>615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602</v>
      </c>
      <c r="H352" s="10" t="s">
        <v>617</v>
      </c>
      <c r="I352" s="4" t="b">
        <v>0</v>
      </c>
      <c r="K352" s="4" t="b">
        <f>IF(COUNTIF($B$2:$B352,B352)&gt;1,TRUE,FALSE)</f>
        <v>0</v>
      </c>
      <c r="L352" s="14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09" si="67">"""type"":"&amp;""""&amp;E352&amp;""","</f>
        <v>"type":"yesno",</v>
      </c>
      <c r="O352" t="str">
        <f t="shared" ref="O352:O409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customHeight="1">
      <c r="A353" s="7">
        <v>419</v>
      </c>
      <c r="B353" s="4" t="s">
        <v>616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602</v>
      </c>
      <c r="H353" s="10" t="s">
        <v>618</v>
      </c>
      <c r="I353" s="4" t="b">
        <v>0</v>
      </c>
      <c r="K353" s="4" t="b">
        <f>IF(COUNTIF($B$2:$B353,B353)&gt;1,TRUE,FALSE)</f>
        <v>0</v>
      </c>
      <c r="L353" s="14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customHeight="1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590</v>
      </c>
      <c r="H354" s="10" t="s">
        <v>619</v>
      </c>
      <c r="I354" s="4" t="b">
        <v>0</v>
      </c>
      <c r="K354" s="4" t="b">
        <f>IF(COUNTIF($B$2:$B354,B354)&gt;1,TRUE,FALSE)</f>
        <v>1</v>
      </c>
      <c r="L354" s="1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customHeight="1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590</v>
      </c>
      <c r="H355" s="10" t="s">
        <v>619</v>
      </c>
      <c r="I355" s="4" t="b">
        <v>0</v>
      </c>
      <c r="K355" s="4" t="b">
        <f>IF(COUNTIF($B$2:$B355,B355)&gt;1,TRUE,FALSE)</f>
        <v>1</v>
      </c>
      <c r="L355" s="14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customHeight="1">
      <c r="A356" s="7">
        <v>422</v>
      </c>
      <c r="B356" s="4" t="s">
        <v>599</v>
      </c>
      <c r="C356" s="10" t="s">
        <v>513</v>
      </c>
      <c r="D356" s="4" t="s">
        <v>543</v>
      </c>
      <c r="E356" s="4" t="s">
        <v>597</v>
      </c>
      <c r="F356" s="4">
        <v>4</v>
      </c>
      <c r="H356" s="4" t="s">
        <v>619</v>
      </c>
      <c r="I356" s="4" t="b">
        <v>0</v>
      </c>
      <c r="K356" s="4" t="b">
        <f>IF(COUNTIF($B$2:$B356,B356)&gt;1,TRUE,FALSE)</f>
        <v>1</v>
      </c>
      <c r="L356" s="14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customHeight="1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590</v>
      </c>
      <c r="H357" s="4" t="s">
        <v>619</v>
      </c>
      <c r="I357" s="4" t="b">
        <v>0</v>
      </c>
      <c r="K357" s="4" t="b">
        <f>IF(COUNTIF($B$2:$B357,B357)&gt;1,TRUE,FALSE)</f>
        <v>1</v>
      </c>
      <c r="L357" s="14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customHeight="1">
      <c r="A358" s="4">
        <v>424</v>
      </c>
      <c r="B358" s="11" t="s">
        <v>620</v>
      </c>
      <c r="C358" s="6" t="s">
        <v>478</v>
      </c>
      <c r="D358" s="4" t="s">
        <v>0</v>
      </c>
      <c r="E358" s="4" t="s">
        <v>0</v>
      </c>
      <c r="F358" s="4">
        <v>2</v>
      </c>
      <c r="G358" s="4" t="s">
        <v>590</v>
      </c>
      <c r="H358" s="10" t="s">
        <v>152</v>
      </c>
      <c r="I358" s="4" t="b">
        <v>0</v>
      </c>
      <c r="K358" s="4" t="b">
        <f>IF(COUNTIF($B$2:$B358,B358)&gt;1,TRUE,FALSE)</f>
        <v>0</v>
      </c>
      <c r="L358" s="14" t="str">
        <f t="shared" si="57"/>
        <v>p.update({"project":{"local_dependency":{"type":"string","subtype":"string","indent":2,"default_value":"","docs_url":"https://looker.com/docs/r/lookml/types/manifest/local_dependency?version=7.14&amp;lookml=new","has_allowed_values":False,"allowed_values":""}}})</v>
      </c>
      <c r="M358" t="str">
        <f t="shared" si="49"/>
        <v>{"project":{"local_dependency":{"type":"string","subtype":"string","indent":2,"default_value":"","docs_url":"https://looker.com/docs/r/lookml/types/manifest/local_dependency?version=7.14&amp;lookml=new","has_allowed_values":False,"allowed_values":""}}}</v>
      </c>
      <c r="N358" t="str">
        <f t="shared" si="67"/>
        <v>"type":"string",</v>
      </c>
      <c r="O358" t="str">
        <f t="shared" si="68"/>
        <v>"subtype":"string",</v>
      </c>
      <c r="P358" t="str">
        <f t="shared" si="52"/>
        <v>"indent":2,</v>
      </c>
      <c r="Q358" t="str">
        <f t="shared" si="65"/>
        <v>"default_value":"",</v>
      </c>
      <c r="R358" t="str">
        <f t="shared" si="66"/>
        <v>"docs_url":"https://looker.com/docs/r/lookml/types/manifest/local_dependency?version=7.14&amp;lookml=new",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customHeight="1">
      <c r="A359" s="7">
        <v>425</v>
      </c>
      <c r="B359" s="11" t="s">
        <v>621</v>
      </c>
      <c r="C359" s="6" t="s">
        <v>482</v>
      </c>
      <c r="D359" s="4" t="s">
        <v>0</v>
      </c>
      <c r="E359" s="4" t="s">
        <v>550</v>
      </c>
      <c r="F359" s="4">
        <v>2</v>
      </c>
      <c r="G359" s="4" t="s">
        <v>622</v>
      </c>
      <c r="H359" s="10" t="s">
        <v>623</v>
      </c>
      <c r="I359" s="4" t="b">
        <v>1</v>
      </c>
      <c r="J359" s="4" t="s">
        <v>624</v>
      </c>
      <c r="K359" s="4" t="b">
        <f>IF(COUNTIF($B$2:$B359,B359)&gt;1,TRUE,FALSE)</f>
        <v>0</v>
      </c>
      <c r="L359" s="14" t="str">
        <f t="shared" si="57"/>
        <v>p.update(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"override_optional"]}}})</v>
      </c>
      <c r="M359" t="str">
        <f t="shared" si="49"/>
        <v>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</v>
      </c>
      <c r="N359" t="str">
        <f t="shared" si="67"/>
        <v>"type":"options",</v>
      </c>
      <c r="O359" t="str">
        <f t="shared" si="68"/>
        <v>"subtype":"string",</v>
      </c>
      <c r="P359" t="str">
        <f t="shared" si="52"/>
        <v>"indent":2,</v>
      </c>
      <c r="Q359" t="str">
        <f t="shared" ref="Q359:Q409" si="70">"""default_value"":"&amp;IF(G359="""""",""""",",IF(LEFT(G359,1)="[",G359,""""&amp;G359&amp;"""")&amp;",")</f>
        <v>"default_value":"none",</v>
      </c>
      <c r="R359" t="str">
        <f t="shared" ref="R359:R409" si="71">"""docs_url"":"&amp;""""&amp;H359&amp;""","</f>
        <v>"docs_url":"https://docs.looker.com/reference/manifest-params/constant?version=7.14&amp;lookml=new#using_export_in_imported_projects",</v>
      </c>
      <c r="S359" t="str">
        <f t="shared" si="69"/>
        <v>"has_allowed_values":True,</v>
      </c>
      <c r="T359" t="str">
        <f t="shared" si="55"/>
        <v>"allowed_values":["none", "override_required", "override_optional"]</v>
      </c>
    </row>
    <row r="360" spans="1:20" ht="15" customHeight="1">
      <c r="A360" s="7">
        <v>426</v>
      </c>
      <c r="B360" s="4" t="s">
        <v>127</v>
      </c>
      <c r="C360" s="6" t="s">
        <v>114</v>
      </c>
      <c r="D360" s="4" t="s">
        <v>0</v>
      </c>
      <c r="E360" s="4" t="s">
        <v>540</v>
      </c>
      <c r="F360" s="4">
        <v>1</v>
      </c>
      <c r="H360" s="10" t="s">
        <v>625</v>
      </c>
      <c r="I360" s="4" t="b">
        <v>0</v>
      </c>
      <c r="K360" s="4" t="b">
        <f>IF(COUNTIF($B$2:$B360,B360)&gt;1,TRUE,FALSE)</f>
        <v>0</v>
      </c>
      <c r="L360" s="14" t="str">
        <f t="shared" si="57"/>
        <v>p.update({"visualization":{"manifest":{"type":"anonymous_construct_plural","subtype":"string","indent":1,"default_value":"","docs_url":"https://docs.looker.com/reference/manifest-params/visualization?version=7.18&amp;lookml=new","has_allowed_values":False,"allowed_values":""}}})</v>
      </c>
      <c r="M360" t="str">
        <f t="shared" si="49"/>
        <v>{"visualization":{"manifest":{"type":"anonymous_construct_plural","subtype":"string","indent":1,"default_value":"","docs_url":"https://docs.looker.com/reference/manifest-params/visualization?version=7.18&amp;lookml=new","has_allowed_values":False,"allowed_values":""}}}</v>
      </c>
      <c r="N360" t="str">
        <f t="shared" si="67"/>
        <v>"type":"anonymous_construct_plural",</v>
      </c>
      <c r="O360" t="str">
        <f t="shared" si="68"/>
        <v>"subtype":"string",</v>
      </c>
      <c r="P360" t="str">
        <f t="shared" si="52"/>
        <v>"indent":1,</v>
      </c>
      <c r="Q360" t="str">
        <f t="shared" si="70"/>
        <v>"default_value":"",</v>
      </c>
      <c r="R360" t="str">
        <f t="shared" si="71"/>
        <v>"docs_url":"https://docs.looker.com/reference/manifest-params/visualization?version=7.18&amp;lookml=new",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customHeight="1">
      <c r="A361" s="7">
        <v>427</v>
      </c>
      <c r="B361" s="11" t="s">
        <v>506</v>
      </c>
      <c r="C361" s="4" t="s">
        <v>127</v>
      </c>
      <c r="D361" s="4" t="s">
        <v>0</v>
      </c>
      <c r="E361" s="4" t="s">
        <v>0</v>
      </c>
      <c r="F361" s="4">
        <v>3</v>
      </c>
      <c r="G361" s="4" t="s">
        <v>590</v>
      </c>
      <c r="H361" s="4" t="s">
        <v>625</v>
      </c>
      <c r="I361" s="4" t="b">
        <v>0</v>
      </c>
      <c r="K361" s="4" t="b">
        <f>IF(COUNTIF($B$2:$B361,B361)&gt;1,TRUE,FALSE)</f>
        <v>1</v>
      </c>
      <c r="L361" s="14" t="str">
        <f t="shared" si="57"/>
        <v>p["id"].update({"visualization":{"type":"string","subtype":"string","indent":3,"default_value":"","docs_url":"https://docs.looker.com/reference/manifest-params/visualization?version=7.18&amp;lookml=new","has_allowed_values":False,"allowed_values":""}})</v>
      </c>
      <c r="M361" t="str">
        <f t="shared" si="49"/>
        <v>{"id":{"visualization":{"type":"string","subtype":"string","indent":3,"default_value":"","docs_url":"https://docs.looker.com/reference/manifest-params/visualization?version=7.18&amp;lookml=new","has_allowed_values":False,"allowed_values":""}}}</v>
      </c>
      <c r="N361" t="str">
        <f t="shared" si="67"/>
        <v>"type":"string",</v>
      </c>
      <c r="O361" t="str">
        <f t="shared" si="68"/>
        <v>"subtype":"string",</v>
      </c>
      <c r="P361" t="str">
        <f t="shared" si="52"/>
        <v>"indent":3,</v>
      </c>
      <c r="Q361" t="str">
        <f t="shared" si="70"/>
        <v>"default_value":"",</v>
      </c>
      <c r="R361" t="str">
        <f t="shared" si="71"/>
        <v>"docs_url":"https://docs.looker.com/reference/manifest-params/visualization?version=7.18&amp;lookml=new",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customHeight="1">
      <c r="A362" s="7">
        <v>428</v>
      </c>
      <c r="B362" s="11" t="s">
        <v>23</v>
      </c>
      <c r="C362" s="4" t="s">
        <v>127</v>
      </c>
      <c r="D362" s="4" t="s">
        <v>29</v>
      </c>
      <c r="E362" s="4" t="s">
        <v>0</v>
      </c>
      <c r="F362" s="4">
        <v>3</v>
      </c>
      <c r="G362" s="4" t="s">
        <v>590</v>
      </c>
      <c r="H362" s="4" t="s">
        <v>625</v>
      </c>
      <c r="I362" s="4" t="b">
        <v>0</v>
      </c>
      <c r="K362" s="4" t="b">
        <f>IF(COUNTIF($B$2:$B362,B362)&gt;1,TRUE,FALSE)</f>
        <v>1</v>
      </c>
      <c r="L362" s="14" t="str">
        <f t="shared" ref="L362:L371" si="72">IF(
K362,"p["""&amp;B362&amp;"""].update({"&amp;""""&amp;C362&amp;""":{"&amp;_xlfn.CONCAT(N362:T362)&amp;"}})","p.update("&amp;M362&amp;")"
)</f>
        <v>p["label"].update({"visualization":{"type":"string","subtype":"possibly-localized-string","indent":3,"default_value":"","docs_url":"https://docs.looker.com/reference/manifest-params/visualization?version=7.18&amp;lookml=new","has_allowed_values":False,"allowed_values":""}})</v>
      </c>
      <c r="M362" t="str">
        <f t="shared" ref="M362:M368" si="73">"{"&amp;""""&amp;B375
&amp;""":{"&amp;""""&amp;C375&amp;""":{"&amp;_xlfn.CONCAT(N362:T362)&amp;"}}}"</f>
        <v>{"query":{"explore":{"type":"string","subtype":"possibly-localized-string","indent":3,"default_value":"","docs_url":"https://docs.looker.com/reference/manifest-params/visualization?version=7.18&amp;lookml=new","has_allowed_values":False,"allowed_values":""}}}</v>
      </c>
      <c r="N362" t="str">
        <f t="shared" si="67"/>
        <v>"type":"string",</v>
      </c>
      <c r="O362" t="str">
        <f t="shared" si="68"/>
        <v>"subtype":"possibly-localized-string",</v>
      </c>
      <c r="P362" t="str">
        <f t="shared" si="52"/>
        <v>"indent":3,</v>
      </c>
      <c r="Q362" t="str">
        <f t="shared" si="70"/>
        <v>"default_value":"",</v>
      </c>
      <c r="R362" t="str">
        <f t="shared" si="71"/>
        <v>"docs_url":"https://docs.looker.com/reference/manifest-params/visualization?version=7.18&amp;lookml=new",</v>
      </c>
      <c r="S362" t="str">
        <f t="shared" si="69"/>
        <v>"has_allowed_values":False,</v>
      </c>
      <c r="T362" t="str">
        <f t="shared" ref="T362:T369" si="74">"""allowed_values"":"&amp;IF(J362&lt;&gt;"",J362,"""""")</f>
        <v>"allowed_values":""</v>
      </c>
    </row>
    <row r="363" spans="1:20" ht="15" customHeight="1">
      <c r="A363" s="7">
        <v>429</v>
      </c>
      <c r="B363" s="11" t="s">
        <v>494</v>
      </c>
      <c r="C363" s="4" t="s">
        <v>127</v>
      </c>
      <c r="D363" s="4" t="s">
        <v>0</v>
      </c>
      <c r="E363" s="4" t="s">
        <v>0</v>
      </c>
      <c r="F363" s="4">
        <v>3</v>
      </c>
      <c r="G363" s="4" t="s">
        <v>590</v>
      </c>
      <c r="H363" s="4" t="s">
        <v>625</v>
      </c>
      <c r="I363" s="4" t="b">
        <v>0</v>
      </c>
      <c r="K363" s="4" t="b">
        <f>IF(COUNTIF($B$2:$B363,B363)&gt;1,TRUE,FALSE)</f>
        <v>1</v>
      </c>
      <c r="L363" s="14" t="str">
        <f t="shared" si="72"/>
        <v>p["url"].update({"visualization":{"type":"string","subtype":"string","indent":3,"default_value":"","docs_url":"https://docs.looker.com/reference/manifest-params/visualization?version=7.18&amp;lookml=new","has_allowed_values":False,"allowed_values":""}})</v>
      </c>
      <c r="M363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3" t="str">
        <f t="shared" si="67"/>
        <v>"type":"string",</v>
      </c>
      <c r="O363" t="str">
        <f t="shared" si="68"/>
        <v>"subtype":"string",</v>
      </c>
      <c r="P363" t="str">
        <f t="shared" si="52"/>
        <v>"indent":3,</v>
      </c>
      <c r="Q363" t="str">
        <f t="shared" si="70"/>
        <v>"default_value":"",</v>
      </c>
      <c r="R363" t="str">
        <f t="shared" si="71"/>
        <v>"docs_url":"https://docs.looker.com/reference/manifest-params/visualization?version=7.18&amp;lookml=new",</v>
      </c>
      <c r="S363" t="str">
        <f t="shared" si="69"/>
        <v>"has_allowed_values":False,</v>
      </c>
      <c r="T363" t="str">
        <f t="shared" si="74"/>
        <v>"allowed_values":""</v>
      </c>
    </row>
    <row r="364" spans="1:20" ht="15" customHeight="1">
      <c r="A364" s="7">
        <v>430</v>
      </c>
      <c r="B364" s="11" t="s">
        <v>507</v>
      </c>
      <c r="C364" s="4" t="s">
        <v>127</v>
      </c>
      <c r="D364" s="4" t="s">
        <v>0</v>
      </c>
      <c r="E364" s="4" t="s">
        <v>0</v>
      </c>
      <c r="F364" s="4">
        <v>3</v>
      </c>
      <c r="G364" s="4" t="s">
        <v>590</v>
      </c>
      <c r="H364" s="4" t="s">
        <v>625</v>
      </c>
      <c r="I364" s="4" t="b">
        <v>0</v>
      </c>
      <c r="K364" s="4" t="b">
        <f>IF(COUNTIF($B$2:$B364,B364)&gt;1,TRUE,FALSE)</f>
        <v>1</v>
      </c>
      <c r="L364" s="14" t="str">
        <f t="shared" si="72"/>
        <v>p["sri_hash"].update({"visualization":{"type":"string","subtype":"string","indent":3,"default_value":"","docs_url":"https://docs.looker.com/reference/manifest-params/visualization?version=7.18&amp;lookml=new","has_allowed_values":False,"allowed_values":""}})</v>
      </c>
      <c r="M364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4" t="str">
        <f t="shared" si="67"/>
        <v>"type":"string",</v>
      </c>
      <c r="O364" t="str">
        <f t="shared" si="68"/>
        <v>"subtype":"string",</v>
      </c>
      <c r="P364" t="str">
        <f t="shared" si="52"/>
        <v>"indent":3,</v>
      </c>
      <c r="Q364" t="str">
        <f t="shared" si="70"/>
        <v>"default_value":"",</v>
      </c>
      <c r="R364" t="str">
        <f t="shared" si="71"/>
        <v>"docs_url":"https://docs.looker.com/reference/manifest-params/visualization?version=7.18&amp;lookml=new",</v>
      </c>
      <c r="S364" t="str">
        <f t="shared" si="69"/>
        <v>"has_allowed_values":False,</v>
      </c>
      <c r="T364" t="str">
        <f t="shared" si="74"/>
        <v>"allowed_values":""</v>
      </c>
    </row>
    <row r="365" spans="1:20" ht="15" customHeight="1">
      <c r="A365" s="7">
        <v>431</v>
      </c>
      <c r="B365" s="11" t="s">
        <v>508</v>
      </c>
      <c r="C365" s="4" t="s">
        <v>127</v>
      </c>
      <c r="D365" s="4" t="s">
        <v>596</v>
      </c>
      <c r="E365" s="4" t="s">
        <v>596</v>
      </c>
      <c r="F365" s="4">
        <v>3</v>
      </c>
      <c r="G365" s="4" t="s">
        <v>590</v>
      </c>
      <c r="H365" s="4" t="s">
        <v>625</v>
      </c>
      <c r="I365" s="4" t="b">
        <v>0</v>
      </c>
      <c r="K365" s="4" t="b">
        <f>IF(COUNTIF($B$2:$B365,B365)&gt;1,TRUE,FALSE)</f>
        <v>1</v>
      </c>
      <c r="L365" s="14" t="str">
        <f t="shared" si="72"/>
        <v>p["dependencies"].update({"visualization":{"type":"list_quoted","subtype":"list_quoted","indent":3,"default_value":"","docs_url":"https://docs.looker.com/reference/manifest-params/visualization?version=7.18&amp;lookml=new","has_allowed_values":False,"allowed_values":""}})</v>
      </c>
      <c r="M365" t="str">
        <f t="shared" si="73"/>
        <v>{"":{"":{"type":"list_quoted","subtype":"list_quoted","indent":3,"default_value":"","docs_url":"https://docs.looker.com/reference/manifest-params/visualization?version=7.18&amp;lookml=new","has_allowed_values":False,"allowed_values":""}}}</v>
      </c>
      <c r="N365" t="str">
        <f t="shared" si="67"/>
        <v>"type":"list_quoted",</v>
      </c>
      <c r="O365" t="str">
        <f t="shared" si="68"/>
        <v>"subtype":"list_quoted",</v>
      </c>
      <c r="P365" t="str">
        <f t="shared" si="52"/>
        <v>"indent":3,</v>
      </c>
      <c r="Q365" t="str">
        <f t="shared" si="70"/>
        <v>"default_value":"",</v>
      </c>
      <c r="R365" t="str">
        <f t="shared" si="71"/>
        <v>"docs_url":"https://docs.looker.com/reference/manifest-params/visualization?version=7.18&amp;lookml=new",</v>
      </c>
      <c r="S365" t="str">
        <f t="shared" si="69"/>
        <v>"has_allowed_values":False,</v>
      </c>
      <c r="T365" t="str">
        <f t="shared" si="74"/>
        <v>"allowed_values":""</v>
      </c>
    </row>
    <row r="366" spans="1:20" ht="15" customHeight="1">
      <c r="A366" s="7">
        <v>432</v>
      </c>
      <c r="B366" s="11" t="s">
        <v>495</v>
      </c>
      <c r="C366" s="4" t="s">
        <v>127</v>
      </c>
      <c r="D366" s="4" t="s">
        <v>0</v>
      </c>
      <c r="E366" s="4" t="s">
        <v>0</v>
      </c>
      <c r="F366" s="4">
        <v>3</v>
      </c>
      <c r="G366" s="4" t="s">
        <v>590</v>
      </c>
      <c r="H366" s="4" t="s">
        <v>625</v>
      </c>
      <c r="I366" s="4" t="b">
        <v>0</v>
      </c>
      <c r="K366" s="4" t="b">
        <f>IF(COUNTIF($B$2:$B366,B366)&gt;1,TRUE,FALSE)</f>
        <v>1</v>
      </c>
      <c r="L366" s="14" t="str">
        <f t="shared" si="72"/>
        <v>p["file"].update({"visualization":{"type":"string","subtype":"string","indent":3,"default_value":"","docs_url":"https://docs.looker.com/reference/manifest-params/visualization?version=7.18&amp;lookml=new","has_allowed_values":False,"allowed_values":""}})</v>
      </c>
      <c r="M366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6" t="str">
        <f t="shared" si="67"/>
        <v>"type":"string",</v>
      </c>
      <c r="O366" t="str">
        <f t="shared" si="68"/>
        <v>"subtype":"string",</v>
      </c>
      <c r="P366" t="str">
        <f t="shared" si="52"/>
        <v>"indent":3,</v>
      </c>
      <c r="Q366" t="str">
        <f t="shared" si="70"/>
        <v>"default_value":"",</v>
      </c>
      <c r="R366" t="str">
        <f t="shared" si="71"/>
        <v>"docs_url":"https://docs.looker.com/reference/manifest-params/visualization?version=7.18&amp;lookml=new",</v>
      </c>
      <c r="S366" t="str">
        <f t="shared" si="69"/>
        <v>"has_allowed_values":False,</v>
      </c>
      <c r="T366" t="str">
        <f t="shared" si="74"/>
        <v>"allowed_values":""</v>
      </c>
    </row>
    <row r="367" spans="1:20" ht="15" customHeight="1">
      <c r="A367" s="7">
        <v>433</v>
      </c>
      <c r="B367" s="11" t="s">
        <v>547</v>
      </c>
      <c r="C367" s="6" t="s">
        <v>482</v>
      </c>
      <c r="D367" s="4" t="s">
        <v>0</v>
      </c>
      <c r="E367" s="4" t="s">
        <v>0</v>
      </c>
      <c r="F367" s="4">
        <v>2</v>
      </c>
      <c r="G367" s="4" t="s">
        <v>590</v>
      </c>
      <c r="H367" s="10" t="s">
        <v>623</v>
      </c>
      <c r="I367" s="4" t="b">
        <v>0</v>
      </c>
      <c r="K367" s="4" t="b">
        <f>IF(COUNTIF($B$2:$B367,B367)&gt;1,TRUE,FALSE)</f>
        <v>1</v>
      </c>
      <c r="L367" s="14" t="str">
        <f t="shared" si="72"/>
        <v>p["value"].update({"constant":{"type":"string","subtype":"string","indent":2,"default_value":"","docs_url":"https://docs.looker.com/reference/manifest-params/constant?version=7.14&amp;lookml=new#using_export_in_imported_projects","has_allowed_values":False,"allowed_values":""}})</v>
      </c>
      <c r="M367" t="str">
        <f t="shared" si="73"/>
        <v>{"":{"":{"type":"string","subtype":"string","indent":2,"default_value":"","docs_url":"https://docs.looker.com/reference/manifest-params/constant?version=7.14&amp;lookml=new#using_export_in_imported_projects","has_allowed_values":False,"allowed_values":""}}}</v>
      </c>
      <c r="N367" t="str">
        <f t="shared" si="67"/>
        <v>"type":"string",</v>
      </c>
      <c r="O367" t="str">
        <f t="shared" si="68"/>
        <v>"subtype":"string",</v>
      </c>
      <c r="P367" t="str">
        <f t="shared" si="52"/>
        <v>"indent":2,</v>
      </c>
      <c r="Q367" t="str">
        <f t="shared" si="70"/>
        <v>"default_value":"",</v>
      </c>
      <c r="R367" t="str">
        <f t="shared" si="71"/>
        <v>"docs_url":"https://docs.looker.com/reference/manifest-params/constant?version=7.14&amp;lookml=new#using_export_in_imported_projects",</v>
      </c>
      <c r="S367" t="str">
        <f t="shared" si="69"/>
        <v>"has_allowed_values":False,</v>
      </c>
      <c r="T367" t="str">
        <f t="shared" si="74"/>
        <v>"allowed_values":""</v>
      </c>
    </row>
    <row r="368" spans="1:20" ht="15" customHeight="1">
      <c r="A368" s="7">
        <v>434</v>
      </c>
      <c r="B368" s="11" t="s">
        <v>23</v>
      </c>
      <c r="C368" s="4" t="s">
        <v>485</v>
      </c>
      <c r="D368" s="4" t="s">
        <v>0</v>
      </c>
      <c r="E368" s="4" t="s">
        <v>0</v>
      </c>
      <c r="F368" s="4">
        <v>3</v>
      </c>
      <c r="G368" s="4" t="s">
        <v>590</v>
      </c>
      <c r="H368" s="10" t="s">
        <v>626</v>
      </c>
      <c r="I368" s="4" t="b">
        <v>0</v>
      </c>
      <c r="K368" s="4" t="b">
        <f>IF(COUNTIF($B$2:$B368,B368)&gt;1,TRUE,FALSE)</f>
        <v>1</v>
      </c>
      <c r="L368" s="14" t="str">
        <f t="shared" si="72"/>
        <v>p["label"].update({"allowed_value":{"type":"string","subtype":"string","indent":3,"default_value":"","docs_url":"https://docs.looker.com/reference/field-params/parameter?version=7.14&amp;lookml=new#specifying_allowed_values","has_allowed_values":False,"allowed_values":""}})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8" t="str">
        <f t="shared" si="73"/>
        <v>{"":{"":{"type":"string","subtype":"string","indent":3,"default_value":"","docs_url":"https://docs.looker.com/reference/field-params/parameter?version=7.14&amp;lookml=new#specifying_allowed_values","has_allowed_values":False,"allowed_values":""}}}</v>
      </c>
      <c r="N368" t="str">
        <f t="shared" si="67"/>
        <v>"type":"string",</v>
      </c>
      <c r="O368" t="str">
        <f t="shared" si="68"/>
        <v>"subtype":"string",</v>
      </c>
      <c r="P368" t="str">
        <f t="shared" si="52"/>
        <v>"indent":3,</v>
      </c>
      <c r="Q368" t="str">
        <f t="shared" si="70"/>
        <v>"default_value":"",</v>
      </c>
      <c r="R368" t="str">
        <f t="shared" si="71"/>
        <v>"docs_url":"https://docs.looker.com/reference/field-params/parameter?version=7.14&amp;lookml=new#specifying_allowed_values",</v>
      </c>
      <c r="S368" t="str">
        <f t="shared" si="69"/>
        <v>"has_allowed_values":False,</v>
      </c>
      <c r="T368" t="str">
        <f t="shared" si="74"/>
        <v>"allowed_values":""</v>
      </c>
    </row>
    <row r="369" spans="1:20" ht="15" customHeight="1">
      <c r="A369" s="7">
        <v>435</v>
      </c>
      <c r="B369" s="11" t="s">
        <v>547</v>
      </c>
      <c r="C369" s="4" t="s">
        <v>485</v>
      </c>
      <c r="D369" s="4" t="s">
        <v>0</v>
      </c>
      <c r="E369" s="4" t="s">
        <v>0</v>
      </c>
      <c r="F369" s="4">
        <v>3</v>
      </c>
      <c r="G369" s="4" t="s">
        <v>590</v>
      </c>
      <c r="H369" s="10" t="s">
        <v>626</v>
      </c>
      <c r="I369" s="4" t="b">
        <v>0</v>
      </c>
      <c r="K369" s="4" t="b">
        <f>IF(COUNTIF($B$2:$B369,B369)&gt;1,TRUE,FALSE)</f>
        <v>1</v>
      </c>
      <c r="L369" s="14" t="str">
        <f t="shared" si="72"/>
        <v>p["value"].update({"allowed_value":{"type":"string","subtype":"string","indent":3,"default_value":"","docs_url":"https://docs.looker.com/reference/field-params/parameter?version=7.14&amp;lookml=new#specifying_allowed_values","has_allowed_values":False,"allowed_values":""}})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9" t="str">
        <f>"{"&amp;""""&amp;B369
&amp;""":{"&amp;""""&amp;C369&amp;""":{"&amp;_xlfn.CONCAT(N369:T369)&amp;"}}}"</f>
        <v>{"value":{"allowed_value":{"type":"string","subtype":"string","indent":3,"default_value":"","docs_url":"https://docs.looker.com/reference/field-params/parameter?version=7.14&amp;lookml=new#specifying_allowed_values","has_allowed_values":False,"allowed_values":""}}}</v>
      </c>
      <c r="N369" t="str">
        <f t="shared" si="67"/>
        <v>"type":"string",</v>
      </c>
      <c r="O369" t="str">
        <f t="shared" si="68"/>
        <v>"subtype":"string",</v>
      </c>
      <c r="P369" t="str">
        <f t="shared" si="52"/>
        <v>"indent":3,</v>
      </c>
      <c r="Q369" t="str">
        <f t="shared" si="70"/>
        <v>"default_value":"",</v>
      </c>
      <c r="R369" t="str">
        <f t="shared" si="71"/>
        <v>"docs_url":"https://docs.looker.com/reference/field-params/parameter?version=7.14&amp;lookml=new#specifying_allowed_values",</v>
      </c>
      <c r="S369" t="str">
        <f t="shared" si="69"/>
        <v>"has_allowed_values":False,</v>
      </c>
      <c r="T369" t="str">
        <f t="shared" si="74"/>
        <v>"allowed_values":""</v>
      </c>
    </row>
    <row r="370" spans="1:20" ht="15" customHeight="1">
      <c r="A370" s="7">
        <v>436</v>
      </c>
      <c r="B370" s="4" t="s">
        <v>59</v>
      </c>
      <c r="C370" s="6" t="s">
        <v>85</v>
      </c>
      <c r="D370" s="4" t="s">
        <v>95</v>
      </c>
      <c r="E370" s="4" t="s">
        <v>59</v>
      </c>
      <c r="F370" s="4">
        <v>2</v>
      </c>
      <c r="H370" s="10" t="s">
        <v>627</v>
      </c>
      <c r="I370" s="4" t="b">
        <v>0</v>
      </c>
      <c r="K370" s="4" t="b">
        <f>IF(COUNTIF($B$2:$B409,B370)&gt;1,TRUE,FALSE)</f>
        <v>1</v>
      </c>
      <c r="L370" s="14" t="str">
        <f>IF(
K370,"p["""&amp;B370&amp;"""].update({"&amp;""""&amp;C370&amp;""":{"&amp;_xlfn.CONCAT(N370:T370)&amp;"}})","p.update("&amp;M370&amp;")"
)</f>
        <v>p["filters"].update({"always_filter":{"type":"filters","subtype":"identifier","indent":2,"default_value":"","docs_url":"https://docs.looker.com/reference/explore-params/always_filter?version=7.14&amp;lookml=new","has_allowed_values":False,"allowed_values":""}})</v>
      </c>
      <c r="M370" t="str">
        <f t="shared" si="49"/>
        <v>{"filters":{"always_filter":{"type":"filters","subtype":"identifier","indent":2,"default_value":"","docs_url":"https://docs.looker.com/reference/explore-params/always_filter?version=7.14&amp;lookml=new","has_allowed_values":False,"allowed_values":""}}}</v>
      </c>
      <c r="N370" t="str">
        <f t="shared" si="67"/>
        <v>"type":"filters",</v>
      </c>
      <c r="O370" t="str">
        <f>"""subtype"":"&amp;""""&amp;D370&amp;""","</f>
        <v>"subtype":"identifier",</v>
      </c>
      <c r="P370" t="str">
        <f t="shared" ref="P370" si="75">"""indent"":"&amp;F370&amp;","</f>
        <v>"indent":2,</v>
      </c>
      <c r="Q370" t="str">
        <f t="shared" si="70"/>
        <v>"default_value":"",</v>
      </c>
      <c r="R370" t="str">
        <f t="shared" si="71"/>
        <v>"docs_url":"https://docs.looker.com/reference/explore-params/always_filter?version=7.14&amp;lookml=new",</v>
      </c>
      <c r="S370" t="str">
        <f t="shared" si="69"/>
        <v>"has_allowed_values":False,</v>
      </c>
      <c r="T370" t="str">
        <f t="shared" ref="T370:T382" si="76">"""allowed_values"":"&amp;IF(J370&lt;&gt;"",J370,"""""")</f>
        <v>"allowed_values":""</v>
      </c>
    </row>
    <row r="371" spans="1:20" ht="15" customHeight="1">
      <c r="A371" s="7">
        <v>437</v>
      </c>
      <c r="B371" s="11" t="s">
        <v>519</v>
      </c>
      <c r="C371" s="4" t="s">
        <v>83</v>
      </c>
      <c r="D371" s="4" t="s">
        <v>17</v>
      </c>
      <c r="E371" s="4" t="s">
        <v>597</v>
      </c>
      <c r="F371" s="4">
        <v>2</v>
      </c>
      <c r="G371" s="4" t="s">
        <v>590</v>
      </c>
      <c r="H371" s="10" t="s">
        <v>628</v>
      </c>
      <c r="I371" s="4" t="b">
        <v>0</v>
      </c>
      <c r="K371" s="4" t="b">
        <f>IF(COUNTIF($B$2:$B371,B371)&gt;1,TRUE,FALSE)</f>
        <v>1</v>
      </c>
      <c r="L371" s="14" t="str">
        <f t="shared" si="72"/>
        <v>p["field"].update({"access_filter":{"type":"string_unquoted","subtype":"field-ref","indent":2,"default_value":"","docs_url":"https://docs.looker.com/reference/explore-params/access_filter?version=7.14&amp;lookml=new","has_allowed_values":False,"allowed_values":""}})</v>
      </c>
      <c r="M371" t="str">
        <f t="shared" si="49"/>
        <v>{"field":{"access_filter":{"type":"string_unquoted","subtype":"field-ref","indent":2,"default_value":"","docs_url":"https://docs.looker.com/reference/explore-params/access_filter?version=7.14&amp;lookml=new","has_allowed_values":False,"allowed_values":""}}}</v>
      </c>
      <c r="N371" t="str">
        <f t="shared" si="67"/>
        <v>"type":"string_unquoted",</v>
      </c>
      <c r="O371" t="str">
        <f t="shared" si="68"/>
        <v>"subtype":"field-ref",</v>
      </c>
      <c r="P371" t="str">
        <f t="shared" si="52"/>
        <v>"indent":2,</v>
      </c>
      <c r="Q371" t="str">
        <f t="shared" si="70"/>
        <v>"default_value":"",</v>
      </c>
      <c r="R371" t="str">
        <f>"""docs_url"":"&amp;""""&amp;H372&amp;""","</f>
        <v>"docs_url":"https://docs.looker.com/reference/explore-params/access_filter?version=7.14&amp;lookml=new",</v>
      </c>
      <c r="S371" t="str">
        <f t="shared" si="69"/>
        <v>"has_allowed_values":False,</v>
      </c>
      <c r="T371" t="str">
        <f t="shared" si="76"/>
        <v>"allowed_values":""</v>
      </c>
    </row>
    <row r="372" spans="1:20" ht="15" customHeight="1">
      <c r="A372" s="7">
        <v>438</v>
      </c>
      <c r="B372" s="11" t="s">
        <v>599</v>
      </c>
      <c r="C372" s="4" t="s">
        <v>83</v>
      </c>
      <c r="D372" s="4" t="s">
        <v>543</v>
      </c>
      <c r="E372" s="4" t="s">
        <v>597</v>
      </c>
      <c r="F372" s="4">
        <v>2</v>
      </c>
      <c r="G372" s="4" t="s">
        <v>590</v>
      </c>
      <c r="H372" s="10" t="s">
        <v>628</v>
      </c>
      <c r="I372" s="4" t="b">
        <v>0</v>
      </c>
      <c r="K372" s="4" t="b">
        <f>IF(COUNTIF($B$2:$B411,B372)&gt;1,TRUE,FALSE)</f>
        <v>1</v>
      </c>
      <c r="L372" s="14" t="str">
        <f>IF(
K372,"p["""&amp;B372&amp;"""].update({"&amp;""""&amp;C372&amp;""":{"&amp;_xlfn.CONCAT(N372:T372)&amp;"}})","p.update("&amp;M372&amp;")"
)</f>
        <v>p["user_attribute"].update({"access_filter":{"type":"string_unquoted","subtype":"user-attribute-ref","indent":2,"default_value":"","docs_url":"https://docs.looker.com/reference/explore-params/access_filter?version=7.14&amp;lookml=new","has_allowed_values":False,"allowed_values":""}})</v>
      </c>
      <c r="M372" t="str">
        <f t="shared" ref="M372" si="77">"{"&amp;""""&amp;B385
&amp;""":{"&amp;""""&amp;C385&amp;""":{"&amp;_xlfn.CONCAT(N372:T372)&amp;"}}}"</f>
        <v>{"":{"":{"type":"string_unquoted","subtype":"user-attribute-ref","indent":2,"default_value":"","docs_url":"https://docs.looker.com/reference/explore-params/access_filter?version=7.14&amp;lookml=new","has_allowed_values":False,"allowed_values":""}}}</v>
      </c>
      <c r="N372" t="str">
        <f t="shared" si="67"/>
        <v>"type":"string_unquoted",</v>
      </c>
      <c r="O372" t="str">
        <f t="shared" si="68"/>
        <v>"subtype":"user-attribute-ref",</v>
      </c>
      <c r="P372" t="str">
        <f t="shared" si="52"/>
        <v>"indent":2,</v>
      </c>
      <c r="Q372" t="str">
        <f t="shared" si="70"/>
        <v>"default_value":"",</v>
      </c>
      <c r="R372" t="str">
        <f t="shared" si="71"/>
        <v>"docs_url":"https://docs.looker.com/reference/explore-params/access_filter?version=7.14&amp;lookml=new",</v>
      </c>
      <c r="S372" t="str">
        <f t="shared" si="69"/>
        <v>"has_allowed_values":False,</v>
      </c>
      <c r="T372" t="str">
        <f t="shared" si="76"/>
        <v>"allowed_values":""</v>
      </c>
    </row>
    <row r="373" spans="1:20" ht="15" customHeight="1">
      <c r="A373" s="7">
        <v>439</v>
      </c>
      <c r="B373" s="11" t="s">
        <v>629</v>
      </c>
      <c r="C373" s="4" t="s">
        <v>480</v>
      </c>
      <c r="D373" s="4" t="s">
        <v>550</v>
      </c>
      <c r="E373" s="4" t="s">
        <v>550</v>
      </c>
      <c r="F373" s="4">
        <v>1</v>
      </c>
      <c r="G373" s="4" t="s">
        <v>590</v>
      </c>
      <c r="H373" s="10" t="s">
        <v>631</v>
      </c>
      <c r="I373" s="4" t="b">
        <v>1</v>
      </c>
      <c r="J373" s="1" t="s">
        <v>952</v>
      </c>
      <c r="K373" s="4" t="b">
        <f>IF(COUNTIF($B$2:$B373,B373)&gt;1,TRUE,FALSE)</f>
        <v>0</v>
      </c>
      <c r="L373" s="14" t="str">
        <f>IF(
K373,"p["""&amp;B373&amp;"""].update({"&amp;""""&amp;C373&amp;""":{"&amp;_xlfn.CONCAT(N373:T373)&amp;"}})","p.update("&amp;M373&amp;")"
)</f>
        <v>p.update({"default_locale":{"localization_settings":{"type":"options","subtype":"options","indent":1,"default_value":"","docs_url":"https://docs.looker.com/reference/manifest-params/localization_settings?version=7.14&amp;lookml=new","has_allowed_values":True,"allowed_values":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}}})</v>
      </c>
      <c r="M373" t="str">
        <f t="shared" si="49"/>
        <v>{"default_locale":{"localization_settings":{"type":"options","subtype":"options","indent":1,"default_value":"","docs_url":"https://docs.looker.com/reference/manifest-params/localization_settings?version=7.14&amp;lookml=new","has_allowed_values":True,"allowed_values":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}}}</v>
      </c>
      <c r="N373" t="str">
        <f t="shared" si="67"/>
        <v>"type":"options",</v>
      </c>
      <c r="O373" t="str">
        <f t="shared" si="68"/>
        <v>"subtype":"options",</v>
      </c>
      <c r="P373" t="str">
        <f t="shared" si="52"/>
        <v>"indent":1,</v>
      </c>
      <c r="Q373" t="str">
        <f t="shared" si="70"/>
        <v>"default_value":"",</v>
      </c>
      <c r="R373" t="str">
        <f t="shared" si="71"/>
        <v>"docs_url":"https://docs.looker.com/reference/manifest-params/localization_settings?version=7.14&amp;lookml=new",</v>
      </c>
      <c r="S373" t="str">
        <f t="shared" si="69"/>
        <v>"has_allowed_values":True,</v>
      </c>
      <c r="T373" t="str">
        <f t="shared" si="76"/>
        <v>"allowed_values":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]</v>
      </c>
    </row>
    <row r="374" spans="1:20" ht="15" customHeight="1">
      <c r="A374" s="7">
        <v>440</v>
      </c>
      <c r="B374" s="11" t="s">
        <v>630</v>
      </c>
      <c r="C374" s="4" t="s">
        <v>480</v>
      </c>
      <c r="D374" s="4" t="s">
        <v>550</v>
      </c>
      <c r="E374" s="4" t="s">
        <v>550</v>
      </c>
      <c r="F374" s="4">
        <v>1</v>
      </c>
      <c r="G374" s="4" t="s">
        <v>632</v>
      </c>
      <c r="H374" s="10" t="s">
        <v>631</v>
      </c>
      <c r="I374" s="4" t="b">
        <v>1</v>
      </c>
      <c r="J374" s="4" t="s">
        <v>633</v>
      </c>
      <c r="K374" s="4" t="b">
        <f>IF(COUNTIF($B$2:$B413,B374)&gt;1,TRUE,FALSE)</f>
        <v>0</v>
      </c>
      <c r="L374" s="14" t="str">
        <f t="shared" ref="L374" si="78">IF(
K374,"p["""&amp;B374&amp;"""].update({"&amp;""""&amp;C374&amp;""":{"&amp;_xlfn.CONCAT(N374:T374)&amp;"}})","p.update("&amp;M374&amp;")"
)</f>
        <v>p.update({"localization_level":{"localization_settings":{"type":"options","subtype":"options","indent":1,"default_value":"permissive","docs_url":"https://docs.looker.com/reference/manifest-params/localization_settings?version=7.14&amp;lookml=new","has_allowed_values":True,"allowed_values":["permissive","strict"]}}})</v>
      </c>
      <c r="M374" t="str">
        <f t="shared" si="49"/>
        <v>{"localization_level":{"localization_settings":{"type":"options","subtype":"options","indent":1,"default_value":"permissive","docs_url":"https://docs.looker.com/reference/manifest-params/localization_settings?version=7.14&amp;lookml=new","has_allowed_values":True,"allowed_values":["permissive","strict"]}}}</v>
      </c>
      <c r="N374" t="str">
        <f t="shared" si="67"/>
        <v>"type":"options",</v>
      </c>
      <c r="O374" t="str">
        <f t="shared" si="68"/>
        <v>"subtype":"options",</v>
      </c>
      <c r="P374" t="str">
        <f t="shared" si="52"/>
        <v>"indent":1,</v>
      </c>
      <c r="Q374" t="str">
        <f t="shared" si="70"/>
        <v>"default_value":"permissive",</v>
      </c>
      <c r="R374" t="str">
        <f t="shared" si="71"/>
        <v>"docs_url":"https://docs.looker.com/reference/manifest-params/localization_settings?version=7.14&amp;lookml=new",</v>
      </c>
      <c r="S374" t="str">
        <f t="shared" si="69"/>
        <v>"has_allowed_values":True,</v>
      </c>
      <c r="T374" t="str">
        <f t="shared" si="76"/>
        <v>"allowed_values":["permissive","strict"]</v>
      </c>
    </row>
    <row r="375" spans="1:20" ht="15" customHeight="1">
      <c r="A375" s="7">
        <v>441</v>
      </c>
      <c r="B375" s="10" t="s">
        <v>112</v>
      </c>
      <c r="C375" s="4" t="s">
        <v>89</v>
      </c>
      <c r="D375" s="4" t="s">
        <v>95</v>
      </c>
      <c r="E375" s="4" t="s">
        <v>591</v>
      </c>
      <c r="F375" s="4">
        <v>2</v>
      </c>
      <c r="H375" s="4" t="s">
        <v>953</v>
      </c>
      <c r="I375" s="4" t="b">
        <v>0</v>
      </c>
      <c r="K375" s="4" t="b">
        <f>IF(COUNTIF($B$2:$B375,B375)&gt;1,TRUE,FALSE)</f>
        <v>1</v>
      </c>
      <c r="L375" s="14" t="str">
        <f>IF(
K375,"p["""&amp;B375&amp;"""].update({"&amp;""""&amp;C375&amp;""":{"&amp;_xlfn.CONCAT(N375:T375)&amp;"}})","p.update("&amp;M375&amp;")"
)</f>
        <v>p["query"].update({"explore":{"type":"named_construct","subtype":"identifier","indent":2,"default_value":"","docs_url":"Not documented as child of explore, see https://docs.looker.com/reference/explore-params/aggregate_table?version=7.14&amp;lookml=new#query ","has_allowed_values":False,"allowed_values":""}})</v>
      </c>
      <c r="M375" t="str">
        <f t="shared" ref="M375" si="79">"{"&amp;""""&amp;B388
&amp;""":{"&amp;""""&amp;C388&amp;""":{"&amp;_xlfn.CONCAT(N375:T375)&amp;"}}}"</f>
        <v>{"":{"":{"type":"named_construct","subtype":"identifier","indent":2,"default_value":"","docs_url":"Not documented as child of explore, see https://docs.looker.com/reference/explore-params/aggregate_table?version=7.14&amp;lookml=new#query ","has_allowed_values":False,"allowed_values":""}}}</v>
      </c>
      <c r="N375" t="str">
        <f t="shared" si="67"/>
        <v>"type":"named_construct",</v>
      </c>
      <c r="O375" t="str">
        <f t="shared" si="68"/>
        <v>"subtype":"identifier",</v>
      </c>
      <c r="P375" t="str">
        <f t="shared" si="52"/>
        <v>"indent":2,</v>
      </c>
      <c r="Q375" t="str">
        <f t="shared" si="70"/>
        <v>"default_value":"",</v>
      </c>
      <c r="R375" t="str">
        <f t="shared" si="71"/>
        <v>"docs_url":"Not documented as child of explore, see https://docs.looker.com/reference/explore-params/aggregate_table?version=7.14&amp;lookml=new#query ",</v>
      </c>
      <c r="S375" t="str">
        <f t="shared" si="69"/>
        <v>"has_allowed_values":False,</v>
      </c>
      <c r="T375" t="str">
        <f t="shared" si="76"/>
        <v>"allowed_values":""</v>
      </c>
    </row>
    <row r="376" spans="1:20" ht="15" customHeight="1">
      <c r="B376" s="12"/>
      <c r="M376" t="str">
        <f t="shared" si="49"/>
        <v>{"":{"":{"type":"","subtype":"","indent":,"default_value":"","docs_url":"","has_allowed_values":False,"allowed_values":""}}}</v>
      </c>
      <c r="N376" t="str">
        <f t="shared" si="67"/>
        <v>"type":"",</v>
      </c>
      <c r="O376" t="str">
        <f t="shared" si="68"/>
        <v>"subtype":"",</v>
      </c>
      <c r="P376" t="str">
        <f t="shared" si="52"/>
        <v>"indent":,</v>
      </c>
      <c r="Q376" t="str">
        <f t="shared" si="70"/>
        <v>"default_value":"",</v>
      </c>
      <c r="R376" t="str">
        <f t="shared" si="71"/>
        <v>"docs_url":"",</v>
      </c>
      <c r="S376" t="str">
        <f t="shared" si="69"/>
        <v>"has_allowed_values":False,</v>
      </c>
      <c r="T376" t="str">
        <f t="shared" si="76"/>
        <v>"allowed_values":""</v>
      </c>
    </row>
    <row r="377" spans="1:20" ht="15" customHeight="1">
      <c r="B377" s="12"/>
      <c r="M377" t="e">
        <f>"{"&amp;""""&amp;#REF!
&amp;""":{"&amp;""""&amp;#REF!&amp;""":{"&amp;_xlfn.CONCAT(N377:T377)&amp;"}}}"</f>
        <v>#REF!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76"/>
        <v>"allowed_values":""</v>
      </c>
    </row>
    <row r="378" spans="1:20" ht="15" customHeight="1">
      <c r="B378" s="12"/>
      <c r="M378" t="e">
        <f>"{"&amp;""""&amp;#REF!
&amp;""":{"&amp;""""&amp;#REF!&amp;""":{"&amp;_xlfn.CONCAT(N378:T378)&amp;"}}}"</f>
        <v>#REF!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76"/>
        <v>"allowed_values":""</v>
      </c>
    </row>
    <row r="379" spans="1:20" ht="15" customHeight="1">
      <c r="B379" s="12"/>
      <c r="M379" t="e">
        <f>"{"&amp;""""&amp;#REF!
&amp;""":{"&amp;""""&amp;#REF!&amp;""":{"&amp;_xlfn.CONCAT(N379:T379)&amp;"}}}"</f>
        <v>#REF!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76"/>
        <v>"allowed_values":""</v>
      </c>
    </row>
    <row r="380" spans="1:20" ht="15" customHeight="1">
      <c r="B380" s="12"/>
      <c r="M380" t="e">
        <f>"{"&amp;""""&amp;#REF!
&amp;""":{"&amp;""""&amp;#REF!&amp;""":{"&amp;_xlfn.CONCAT(N380:T380)&amp;"}}}"</f>
        <v>#REF!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ref="S380:S382" si="80">"""has_allowed_values"":"&amp;IF(I380,"True,","False"&amp;",")</f>
        <v>"has_allowed_values":False,</v>
      </c>
      <c r="T380" t="str">
        <f t="shared" si="76"/>
        <v>"allowed_values":""</v>
      </c>
    </row>
    <row r="381" spans="1:20" ht="15" customHeight="1">
      <c r="B381" s="12"/>
      <c r="M381" t="e">
        <f>"{"&amp;""""&amp;#REF!
&amp;""":{"&amp;""""&amp;#REF!&amp;""":{"&amp;_xlfn.CONCAT(N381:T381)&amp;"}}}"</f>
        <v>#REF!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ref="R381:R382" si="81">"""docs_url"":"&amp;""""&amp;H381&amp;""","</f>
        <v>"docs_url":"",</v>
      </c>
      <c r="S381" t="str">
        <f t="shared" si="80"/>
        <v>"has_allowed_values":False,</v>
      </c>
      <c r="T381" t="str">
        <f t="shared" si="76"/>
        <v>"allowed_values":""</v>
      </c>
    </row>
    <row r="382" spans="1:20" ht="15" customHeight="1">
      <c r="B382" s="13"/>
      <c r="M382" t="e">
        <f>"{"&amp;""""&amp;#REF!
&amp;""":{"&amp;""""&amp;#REF!&amp;""":{"&amp;_xlfn.CONCAT(N382:T382)&amp;"}}}"</f>
        <v>#REF!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81"/>
        <v>"docs_url":"",</v>
      </c>
      <c r="S382" t="str">
        <f t="shared" si="80"/>
        <v>"has_allowed_values":False,</v>
      </c>
      <c r="T382" t="str">
        <f t="shared" si="76"/>
        <v>"allowed_values":""</v>
      </c>
    </row>
    <row r="383" spans="1:20" ht="15" customHeight="1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:20" ht="15" customHeight="1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customHeight="1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customHeight="1">
      <c r="M386" t="str">
        <f t="shared" ref="M386:M409" si="82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customHeight="1">
      <c r="M387" t="str">
        <f t="shared" si="82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09" si="83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84">"""allowed_values"":"&amp;IF(J387&lt;&gt;"",J387,"""""")</f>
        <v>"allowed_values":""</v>
      </c>
    </row>
    <row r="388" spans="13:20" ht="15" customHeight="1">
      <c r="M388" t="str">
        <f t="shared" si="82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83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84"/>
        <v>"allowed_values":""</v>
      </c>
    </row>
    <row r="389" spans="13:20" ht="15" customHeight="1">
      <c r="M389" t="str">
        <f t="shared" si="82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83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84"/>
        <v>"allowed_values":""</v>
      </c>
    </row>
    <row r="390" spans="13:20" ht="15" customHeight="1">
      <c r="M390" t="str">
        <f t="shared" si="82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83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84"/>
        <v>"allowed_values":""</v>
      </c>
    </row>
    <row r="391" spans="13:20" ht="15" customHeight="1">
      <c r="M391" t="str">
        <f t="shared" si="82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83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84"/>
        <v>"allowed_values":""</v>
      </c>
    </row>
    <row r="392" spans="13:20" ht="15" customHeight="1">
      <c r="M392" t="str">
        <f t="shared" si="82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83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84"/>
        <v>"allowed_values":""</v>
      </c>
    </row>
    <row r="393" spans="13:20" ht="15" customHeight="1">
      <c r="M393" t="str">
        <f t="shared" si="82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83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84"/>
        <v>"allowed_values":""</v>
      </c>
    </row>
    <row r="394" spans="13:20" ht="15" customHeight="1">
      <c r="M394" t="str">
        <f t="shared" si="82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83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84"/>
        <v>"allowed_values":""</v>
      </c>
    </row>
    <row r="395" spans="13:20" ht="15" customHeight="1">
      <c r="M395" t="str">
        <f t="shared" si="82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83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84"/>
        <v>"allowed_values":""</v>
      </c>
    </row>
    <row r="396" spans="13:20" ht="15" customHeight="1">
      <c r="M396" t="str">
        <f t="shared" si="82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83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84"/>
        <v>"allowed_values":""</v>
      </c>
    </row>
    <row r="397" spans="13:20" ht="15" customHeight="1">
      <c r="M397" t="str">
        <f t="shared" si="82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83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84"/>
        <v>"allowed_values":""</v>
      </c>
    </row>
    <row r="398" spans="13:20" ht="15" customHeight="1">
      <c r="M398" t="str">
        <f t="shared" si="82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83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84"/>
        <v>"allowed_values":""</v>
      </c>
    </row>
    <row r="399" spans="13:20" ht="15" customHeight="1">
      <c r="M399" t="str">
        <f t="shared" si="82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83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84"/>
        <v>"allowed_values":""</v>
      </c>
    </row>
    <row r="400" spans="13:20" ht="15" customHeight="1">
      <c r="M400" t="str">
        <f t="shared" si="82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83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84"/>
        <v>"allowed_values":""</v>
      </c>
    </row>
    <row r="401" spans="12:20" ht="15" customHeight="1">
      <c r="M401" t="str">
        <f t="shared" si="82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83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84"/>
        <v>"allowed_values":""</v>
      </c>
    </row>
    <row r="402" spans="12:20" ht="15" customHeight="1">
      <c r="M402" t="str">
        <f t="shared" si="82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83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84"/>
        <v>"allowed_values":""</v>
      </c>
    </row>
    <row r="403" spans="12:20" ht="15" customHeight="1">
      <c r="M403" t="str">
        <f t="shared" si="82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83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84"/>
        <v>"allowed_values":""</v>
      </c>
    </row>
    <row r="404" spans="12:20" ht="15" customHeight="1">
      <c r="M404" t="str">
        <f t="shared" si="82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83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84"/>
        <v>"allowed_values":""</v>
      </c>
    </row>
    <row r="405" spans="12:20" ht="15" customHeight="1">
      <c r="M405" t="str">
        <f t="shared" si="82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83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84"/>
        <v>"allowed_values":""</v>
      </c>
    </row>
    <row r="406" spans="12:20" ht="15" customHeight="1">
      <c r="M406" t="str">
        <f t="shared" si="82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83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84"/>
        <v>"allowed_values":""</v>
      </c>
    </row>
    <row r="407" spans="12:20" ht="15" customHeight="1">
      <c r="M407" t="str">
        <f t="shared" si="82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83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84"/>
        <v>"allowed_values":""</v>
      </c>
    </row>
    <row r="408" spans="12:20" ht="15" customHeight="1">
      <c r="M408" t="str">
        <f t="shared" si="82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83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84"/>
        <v>"allowed_values":""</v>
      </c>
    </row>
    <row r="409" spans="12:20" ht="15" customHeight="1">
      <c r="M409" t="str">
        <f t="shared" si="82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83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84"/>
        <v>"allowed_values":""</v>
      </c>
    </row>
    <row r="410" spans="12:20" ht="15" customHeight="1">
      <c r="L410" t="str">
        <f>IF(
K370,"p["""&amp;B370&amp;"""].update({"&amp;""""&amp;C370&amp;""":{"&amp;_xlfn.CONCAT(N410:T410)&amp;"}})","p.update("&amp;M410&amp;")"
)</f>
        <v>p["filters"].update({"always_filter":{}})</v>
      </c>
    </row>
  </sheetData>
  <autoFilter ref="A1:J410" xr:uid="{ADA28AC6-3A3D-CB4D-A516-D61924D83BF1}"/>
  <conditionalFormatting sqref="B1:B350 B352:B355 B383:B409 B411:B1048576 B370:B374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  <hyperlink ref="H346" r:id="rId358" xr:uid="{8686F874-56FC-344A-92E6-9DDA73EE5B97}"/>
    <hyperlink ref="H358" r:id="rId359" xr:uid="{755E53CB-E8F6-3F4E-8BCE-2BEE23D84C91}"/>
    <hyperlink ref="H359" r:id="rId360" location="using_export_in_imported_projects" xr:uid="{8A60D39B-6ADC-9E46-83C6-815AD67B390F}"/>
    <hyperlink ref="H360" r:id="rId361" xr:uid="{B688E181-5BBB-E742-8479-D5A25B6F3C81}"/>
    <hyperlink ref="H367" r:id="rId362" location="using_export_in_imported_projects" xr:uid="{454F35E4-3AFB-4446-8E2F-4C721F02475C}"/>
    <hyperlink ref="H201" r:id="rId363" xr:uid="{2235DCBC-906A-894B-BBB8-EFBA8FE98876}"/>
    <hyperlink ref="H368" r:id="rId364" location="specifying_allowed_values" xr:uid="{54FC3BCB-5614-9D4F-AB2E-F451BECB3E94}"/>
    <hyperlink ref="H369" r:id="rId365" location="specifying_allowed_values" xr:uid="{F38BFCC2-ACFC-D243-8D77-5616FD6801D7}"/>
    <hyperlink ref="H370" r:id="rId366" xr:uid="{8C544398-AD41-8E4C-8890-E1A1AA1D88F5}"/>
    <hyperlink ref="H371" r:id="rId367" xr:uid="{BDE0C66F-05A7-E444-ABA3-AF50A99EE2AA}"/>
    <hyperlink ref="H372" r:id="rId368" xr:uid="{C2C366CC-6A5D-7649-A1B8-E2C8F2701C3C}"/>
    <hyperlink ref="H373" r:id="rId369" xr:uid="{7AFAEF52-1666-9E45-A9A4-A6237F88AFC7}"/>
    <hyperlink ref="H374" r:id="rId370" xr:uid="{7C58CF55-939B-1D4C-AE45-E138E705E95F}"/>
    <hyperlink ref="H261" r:id="rId371" xr:uid="{5307A45B-8E66-3544-AC57-1E4C072CB4A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F3631-D0C2-3B48-B63F-CD03DBF40F74}">
  <dimension ref="A1:FG159"/>
  <sheetViews>
    <sheetView workbookViewId="0">
      <selection activeCell="E5" sqref="E5"/>
    </sheetView>
  </sheetViews>
  <sheetFormatPr baseColWidth="10" defaultRowHeight="13"/>
  <cols>
    <col min="1" max="1" width="21.83203125" bestFit="1" customWidth="1"/>
  </cols>
  <sheetData>
    <row r="1" spans="1:163">
      <c r="A1" t="s">
        <v>635</v>
      </c>
      <c r="B1" t="s">
        <v>792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t="s">
        <v>797</v>
      </c>
      <c r="K1" t="s">
        <v>798</v>
      </c>
      <c r="L1" t="s">
        <v>799</v>
      </c>
      <c r="M1" t="s">
        <v>800</v>
      </c>
      <c r="N1" t="s">
        <v>801</v>
      </c>
      <c r="O1" t="s">
        <v>802</v>
      </c>
      <c r="P1" t="s">
        <v>803</v>
      </c>
      <c r="Q1" t="s">
        <v>804</v>
      </c>
      <c r="R1" t="s">
        <v>805</v>
      </c>
      <c r="S1" t="s">
        <v>806</v>
      </c>
      <c r="T1" t="s">
        <v>807</v>
      </c>
      <c r="U1" t="s">
        <v>808</v>
      </c>
      <c r="V1" t="s">
        <v>809</v>
      </c>
      <c r="W1" t="s">
        <v>810</v>
      </c>
      <c r="X1" t="s">
        <v>811</v>
      </c>
      <c r="Y1" t="s">
        <v>812</v>
      </c>
      <c r="Z1" t="s">
        <v>813</v>
      </c>
      <c r="AA1" t="s">
        <v>814</v>
      </c>
      <c r="AB1" t="s">
        <v>815</v>
      </c>
      <c r="AC1" t="s">
        <v>816</v>
      </c>
      <c r="AD1" t="s">
        <v>817</v>
      </c>
      <c r="AE1" t="s">
        <v>818</v>
      </c>
      <c r="AF1" t="s">
        <v>819</v>
      </c>
      <c r="AG1" t="s">
        <v>820</v>
      </c>
      <c r="AH1" t="s">
        <v>821</v>
      </c>
      <c r="AI1" t="s">
        <v>822</v>
      </c>
      <c r="AJ1" t="s">
        <v>823</v>
      </c>
      <c r="AK1" t="s">
        <v>824</v>
      </c>
      <c r="AL1" t="s">
        <v>825</v>
      </c>
      <c r="AM1" t="s">
        <v>826</v>
      </c>
      <c r="AN1" t="s">
        <v>827</v>
      </c>
      <c r="AO1" t="s">
        <v>828</v>
      </c>
      <c r="AP1" t="s">
        <v>829</v>
      </c>
      <c r="AQ1" t="s">
        <v>830</v>
      </c>
      <c r="AR1" t="s">
        <v>831</v>
      </c>
      <c r="AS1" t="s">
        <v>832</v>
      </c>
      <c r="AT1" t="s">
        <v>833</v>
      </c>
      <c r="AU1" t="s">
        <v>834</v>
      </c>
      <c r="AV1" t="s">
        <v>835</v>
      </c>
      <c r="AW1" t="s">
        <v>836</v>
      </c>
      <c r="AX1" t="s">
        <v>837</v>
      </c>
      <c r="AY1" t="s">
        <v>838</v>
      </c>
      <c r="AZ1" t="s">
        <v>839</v>
      </c>
      <c r="BA1" t="s">
        <v>840</v>
      </c>
      <c r="BB1" t="s">
        <v>841</v>
      </c>
      <c r="BC1" t="s">
        <v>842</v>
      </c>
      <c r="BD1" t="s">
        <v>843</v>
      </c>
      <c r="BE1" t="s">
        <v>844</v>
      </c>
      <c r="BF1" t="s">
        <v>845</v>
      </c>
      <c r="BG1" t="s">
        <v>846</v>
      </c>
      <c r="BH1" t="s">
        <v>847</v>
      </c>
      <c r="BI1" t="s">
        <v>848</v>
      </c>
      <c r="BJ1" t="s">
        <v>849</v>
      </c>
      <c r="BK1" t="s">
        <v>850</v>
      </c>
      <c r="BL1" t="s">
        <v>851</v>
      </c>
      <c r="BM1" t="s">
        <v>852</v>
      </c>
      <c r="BN1" t="s">
        <v>853</v>
      </c>
      <c r="BO1" t="s">
        <v>854</v>
      </c>
      <c r="BP1" t="s">
        <v>855</v>
      </c>
      <c r="BQ1" t="s">
        <v>856</v>
      </c>
      <c r="BR1" t="s">
        <v>857</v>
      </c>
      <c r="BS1" t="s">
        <v>858</v>
      </c>
      <c r="BT1" t="s">
        <v>859</v>
      </c>
      <c r="BU1" t="s">
        <v>860</v>
      </c>
      <c r="BV1" t="s">
        <v>861</v>
      </c>
      <c r="BW1" t="s">
        <v>862</v>
      </c>
      <c r="BX1" t="s">
        <v>863</v>
      </c>
      <c r="BY1" t="s">
        <v>864</v>
      </c>
      <c r="BZ1" t="s">
        <v>865</v>
      </c>
      <c r="CA1" t="s">
        <v>866</v>
      </c>
      <c r="CB1" t="s">
        <v>867</v>
      </c>
      <c r="CC1" t="s">
        <v>868</v>
      </c>
      <c r="CD1" t="s">
        <v>869</v>
      </c>
      <c r="CE1" t="s">
        <v>870</v>
      </c>
      <c r="CF1" t="s">
        <v>871</v>
      </c>
      <c r="CG1" t="s">
        <v>872</v>
      </c>
      <c r="CH1" t="s">
        <v>873</v>
      </c>
      <c r="CI1" t="s">
        <v>874</v>
      </c>
      <c r="CJ1" t="s">
        <v>875</v>
      </c>
      <c r="CK1" t="s">
        <v>876</v>
      </c>
      <c r="CL1" t="s">
        <v>877</v>
      </c>
      <c r="CM1" t="s">
        <v>878</v>
      </c>
      <c r="CN1" t="s">
        <v>879</v>
      </c>
      <c r="CO1" t="s">
        <v>880</v>
      </c>
      <c r="CP1" t="s">
        <v>881</v>
      </c>
      <c r="CQ1" t="s">
        <v>882</v>
      </c>
      <c r="CR1" t="s">
        <v>883</v>
      </c>
      <c r="CS1" t="s">
        <v>884</v>
      </c>
      <c r="CT1" t="s">
        <v>885</v>
      </c>
      <c r="CU1" t="s">
        <v>886</v>
      </c>
      <c r="CV1" t="s">
        <v>887</v>
      </c>
      <c r="CW1" t="s">
        <v>888</v>
      </c>
      <c r="CX1" t="s">
        <v>889</v>
      </c>
      <c r="CY1" t="s">
        <v>890</v>
      </c>
      <c r="CZ1" t="s">
        <v>891</v>
      </c>
      <c r="DA1" t="s">
        <v>892</v>
      </c>
      <c r="DB1" t="s">
        <v>893</v>
      </c>
      <c r="DC1" t="s">
        <v>894</v>
      </c>
      <c r="DD1" t="s">
        <v>895</v>
      </c>
      <c r="DE1" t="s">
        <v>896</v>
      </c>
      <c r="DF1" t="s">
        <v>897</v>
      </c>
      <c r="DG1" t="s">
        <v>898</v>
      </c>
      <c r="DH1" t="s">
        <v>899</v>
      </c>
      <c r="DI1" t="s">
        <v>900</v>
      </c>
      <c r="DJ1" t="s">
        <v>901</v>
      </c>
      <c r="DK1" t="s">
        <v>902</v>
      </c>
      <c r="DL1" t="s">
        <v>903</v>
      </c>
      <c r="DM1" t="s">
        <v>904</v>
      </c>
      <c r="DN1" t="s">
        <v>905</v>
      </c>
      <c r="DO1" t="s">
        <v>906</v>
      </c>
      <c r="DP1" t="s">
        <v>907</v>
      </c>
      <c r="DQ1" t="s">
        <v>908</v>
      </c>
      <c r="DR1" t="s">
        <v>909</v>
      </c>
      <c r="DS1" t="s">
        <v>910</v>
      </c>
      <c r="DT1" t="s">
        <v>911</v>
      </c>
      <c r="DU1" t="s">
        <v>912</v>
      </c>
      <c r="DV1" t="s">
        <v>913</v>
      </c>
      <c r="DW1" t="s">
        <v>914</v>
      </c>
      <c r="DX1" t="s">
        <v>915</v>
      </c>
      <c r="DY1" t="s">
        <v>916</v>
      </c>
      <c r="DZ1" t="s">
        <v>917</v>
      </c>
      <c r="EA1" t="s">
        <v>918</v>
      </c>
      <c r="EB1" t="s">
        <v>919</v>
      </c>
      <c r="EC1" t="s">
        <v>920</v>
      </c>
      <c r="ED1" t="s">
        <v>921</v>
      </c>
      <c r="EE1" t="s">
        <v>922</v>
      </c>
      <c r="EF1" t="s">
        <v>923</v>
      </c>
      <c r="EG1" t="s">
        <v>924</v>
      </c>
      <c r="EH1" t="s">
        <v>925</v>
      </c>
      <c r="EI1" t="s">
        <v>926</v>
      </c>
      <c r="EJ1" t="s">
        <v>927</v>
      </c>
      <c r="EK1" t="s">
        <v>928</v>
      </c>
      <c r="EL1" t="s">
        <v>929</v>
      </c>
      <c r="EM1" t="s">
        <v>930</v>
      </c>
      <c r="EN1" t="s">
        <v>931</v>
      </c>
      <c r="EO1" t="s">
        <v>932</v>
      </c>
      <c r="EP1" t="s">
        <v>933</v>
      </c>
      <c r="EQ1" t="s">
        <v>934</v>
      </c>
      <c r="ER1" t="s">
        <v>935</v>
      </c>
      <c r="ES1" t="s">
        <v>936</v>
      </c>
      <c r="ET1" t="s">
        <v>937</v>
      </c>
      <c r="EU1" t="s">
        <v>938</v>
      </c>
      <c r="EV1" t="s">
        <v>939</v>
      </c>
      <c r="EW1" t="s">
        <v>940</v>
      </c>
      <c r="EX1" t="s">
        <v>941</v>
      </c>
      <c r="EY1" t="s">
        <v>942</v>
      </c>
      <c r="EZ1" t="s">
        <v>943</v>
      </c>
      <c r="FA1" t="s">
        <v>944</v>
      </c>
      <c r="FB1" t="s">
        <v>945</v>
      </c>
      <c r="FC1" t="s">
        <v>946</v>
      </c>
      <c r="FD1" t="s">
        <v>947</v>
      </c>
      <c r="FE1" t="s">
        <v>948</v>
      </c>
      <c r="FF1" t="s">
        <v>949</v>
      </c>
      <c r="FG1" t="s">
        <v>950</v>
      </c>
    </row>
    <row r="2" spans="1:163">
      <c r="A2" t="s">
        <v>636</v>
      </c>
      <c r="B2" t="s">
        <v>793</v>
      </c>
    </row>
    <row r="3" spans="1:163">
      <c r="A3" t="s">
        <v>637</v>
      </c>
      <c r="B3" t="s">
        <v>794</v>
      </c>
      <c r="E3" t="str">
        <f>"["&amp;_xlfn.CONCAT(E1:FG1)&amp;"}"</f>
        <v>['ar_AE','ar_JO','ar_SY','hr_HR','fr_BE','es_PA','mt_MT','es_VE','bg','zh_TW','it','ko','uk','lv','da_DK','es_PR','vi_VN','en_US','sr_ME','sv_SE','es_BO','en_SG','ar_BH','pt','ar_SA','sk','ar_YE','hi_IN','ga','en_MT','fi_FI','et','sv','cs','sr_BA_#Latn','el','uk_UA','hu','fr_CH','in','es_AR','ar_EG','ja_JP_JP_#u-ca-japanese','es_SV','pt_BR','be','is_IS','cs_CZ','es','pl_PL','tr','ca_ES','sr_CS','ms_MY','hr','lt','es_ES','es_CO','bg_BG','sq','fr','ja','sr_BA','is','es_PY','de','es_EC','es_US','ar_SD','en','ro_RO','en_PH','ca','ar_TN','sr_ME_#Latn','es_GT','sl','ko_KR','el_CY','es_MX','ru_RU','es_HN','zh_HK','no_NO_NY','hu_HU','th_TH','ar_IQ','es_CL','fi','ar_MA','ga_IE','mk','tr_TR','et_EE','ar_QA','sr__#Latn','pt_PT','fr_LU','ar_OM','th','sq_AL','es_DO','es_CU','ar','ru','en_NZ','sr_RS','de_CH','es_UY','ms','el_GR','iw_IL','en_ZA','th_TH_TH_#u-nu-thai','hi','fr_FR','de_AT','nl','no_NO','en_AU','vi','nl_NL','fr_CA','lv_LV','de_LU','es_CR','ar_KW','sr','ar_LY','mt','it_CH','da','de_DE','ar_DZ','sk_SK','lt_LT','it_IT','en_IE','zh_SG','ro','en_CA','nl_BE','no','pl','zh_CN','ja_JP','de_GR','sr_RS_#Latn','iw','en_IN','ar_LB','es_NI','zh','mk_MK','be_BY','sl_SI','es_PE','in_ID','en_GB'}</v>
      </c>
    </row>
    <row r="4" spans="1:163">
      <c r="A4" t="s">
        <v>638</v>
      </c>
      <c r="B4" t="s">
        <v>795</v>
      </c>
      <c r="E4" t="str">
        <f>"["&amp;_xlfn.CONCAT(E2:FG2)&amp;"}"</f>
        <v>[}</v>
      </c>
    </row>
    <row r="5" spans="1:163">
      <c r="A5" t="s">
        <v>639</v>
      </c>
      <c r="B5" t="s">
        <v>796</v>
      </c>
      <c r="E5" s="1" t="s">
        <v>951</v>
      </c>
    </row>
    <row r="6" spans="1:163">
      <c r="A6" t="s">
        <v>640</v>
      </c>
      <c r="B6" t="s">
        <v>797</v>
      </c>
    </row>
    <row r="7" spans="1:163">
      <c r="A7" t="s">
        <v>641</v>
      </c>
      <c r="B7" t="s">
        <v>798</v>
      </c>
    </row>
    <row r="8" spans="1:163">
      <c r="A8" t="s">
        <v>642</v>
      </c>
      <c r="B8" t="s">
        <v>799</v>
      </c>
    </row>
    <row r="9" spans="1:163">
      <c r="A9" t="s">
        <v>643</v>
      </c>
      <c r="B9" t="s">
        <v>800</v>
      </c>
    </row>
    <row r="10" spans="1:163">
      <c r="A10" t="s">
        <v>644</v>
      </c>
      <c r="B10" t="s">
        <v>801</v>
      </c>
    </row>
    <row r="11" spans="1:163">
      <c r="A11" t="s">
        <v>645</v>
      </c>
      <c r="B11" t="s">
        <v>802</v>
      </c>
    </row>
    <row r="12" spans="1:163">
      <c r="A12" t="s">
        <v>786</v>
      </c>
      <c r="B12" t="s">
        <v>803</v>
      </c>
    </row>
    <row r="13" spans="1:163">
      <c r="A13" t="s">
        <v>646</v>
      </c>
      <c r="B13" t="s">
        <v>804</v>
      </c>
    </row>
    <row r="14" spans="1:163">
      <c r="A14" t="s">
        <v>647</v>
      </c>
      <c r="B14" t="s">
        <v>805</v>
      </c>
    </row>
    <row r="15" spans="1:163">
      <c r="A15" t="s">
        <v>648</v>
      </c>
      <c r="B15" t="s">
        <v>806</v>
      </c>
    </row>
    <row r="16" spans="1:163">
      <c r="A16" t="s">
        <v>649</v>
      </c>
      <c r="B16" t="s">
        <v>807</v>
      </c>
    </row>
    <row r="17" spans="1:2">
      <c r="A17" t="s">
        <v>650</v>
      </c>
      <c r="B17" t="s">
        <v>808</v>
      </c>
    </row>
    <row r="18" spans="1:2">
      <c r="A18" t="s">
        <v>651</v>
      </c>
      <c r="B18" t="s">
        <v>809</v>
      </c>
    </row>
    <row r="19" spans="1:2">
      <c r="A19" t="s">
        <v>652</v>
      </c>
      <c r="B19" t="s">
        <v>810</v>
      </c>
    </row>
    <row r="20" spans="1:2">
      <c r="A20" t="s">
        <v>653</v>
      </c>
      <c r="B20" t="s">
        <v>811</v>
      </c>
    </row>
    <row r="21" spans="1:2">
      <c r="A21" t="s">
        <v>654</v>
      </c>
      <c r="B21" t="s">
        <v>812</v>
      </c>
    </row>
    <row r="22" spans="1:2">
      <c r="A22" t="s">
        <v>655</v>
      </c>
      <c r="B22" t="s">
        <v>813</v>
      </c>
    </row>
    <row r="23" spans="1:2">
      <c r="A23" t="s">
        <v>656</v>
      </c>
      <c r="B23" t="s">
        <v>814</v>
      </c>
    </row>
    <row r="24" spans="1:2">
      <c r="A24" t="s">
        <v>657</v>
      </c>
      <c r="B24" t="s">
        <v>815</v>
      </c>
    </row>
    <row r="25" spans="1:2">
      <c r="A25" t="s">
        <v>658</v>
      </c>
      <c r="B25" t="s">
        <v>816</v>
      </c>
    </row>
    <row r="26" spans="1:2">
      <c r="A26" t="s">
        <v>659</v>
      </c>
      <c r="B26" t="s">
        <v>817</v>
      </c>
    </row>
    <row r="27" spans="1:2">
      <c r="A27" t="s">
        <v>660</v>
      </c>
      <c r="B27" t="s">
        <v>818</v>
      </c>
    </row>
    <row r="28" spans="1:2">
      <c r="A28" t="s">
        <v>661</v>
      </c>
      <c r="B28" t="s">
        <v>819</v>
      </c>
    </row>
    <row r="29" spans="1:2">
      <c r="A29" t="s">
        <v>662</v>
      </c>
      <c r="B29" t="s">
        <v>820</v>
      </c>
    </row>
    <row r="30" spans="1:2">
      <c r="A30" t="s">
        <v>663</v>
      </c>
      <c r="B30" t="s">
        <v>821</v>
      </c>
    </row>
    <row r="31" spans="1:2">
      <c r="A31" t="s">
        <v>664</v>
      </c>
      <c r="B31" t="s">
        <v>822</v>
      </c>
    </row>
    <row r="32" spans="1:2">
      <c r="A32" t="s">
        <v>665</v>
      </c>
      <c r="B32" t="s">
        <v>823</v>
      </c>
    </row>
    <row r="33" spans="1:2">
      <c r="A33" t="s">
        <v>666</v>
      </c>
      <c r="B33" t="s">
        <v>824</v>
      </c>
    </row>
    <row r="34" spans="1:2">
      <c r="A34" t="s">
        <v>667</v>
      </c>
      <c r="B34" t="s">
        <v>825</v>
      </c>
    </row>
    <row r="35" spans="1:2">
      <c r="A35" t="s">
        <v>668</v>
      </c>
      <c r="B35" t="s">
        <v>826</v>
      </c>
    </row>
    <row r="36" spans="1:2">
      <c r="A36" t="s">
        <v>669</v>
      </c>
      <c r="B36" t="s">
        <v>827</v>
      </c>
    </row>
    <row r="37" spans="1:2">
      <c r="A37" t="s">
        <v>670</v>
      </c>
      <c r="B37" t="s">
        <v>828</v>
      </c>
    </row>
    <row r="38" spans="1:2">
      <c r="A38" t="s">
        <v>671</v>
      </c>
      <c r="B38" t="s">
        <v>829</v>
      </c>
    </row>
    <row r="39" spans="1:2">
      <c r="A39" t="s">
        <v>672</v>
      </c>
      <c r="B39" t="s">
        <v>830</v>
      </c>
    </row>
    <row r="40" spans="1:2">
      <c r="A40" t="s">
        <v>673</v>
      </c>
      <c r="B40" t="s">
        <v>831</v>
      </c>
    </row>
    <row r="41" spans="1:2">
      <c r="A41" t="s">
        <v>674</v>
      </c>
      <c r="B41" t="s">
        <v>832</v>
      </c>
    </row>
    <row r="42" spans="1:2">
      <c r="A42" t="s">
        <v>675</v>
      </c>
      <c r="B42" t="s">
        <v>833</v>
      </c>
    </row>
    <row r="43" spans="1:2">
      <c r="A43" t="s">
        <v>676</v>
      </c>
      <c r="B43" t="s">
        <v>834</v>
      </c>
    </row>
    <row r="44" spans="1:2">
      <c r="A44" t="s">
        <v>677</v>
      </c>
      <c r="B44" t="s">
        <v>835</v>
      </c>
    </row>
    <row r="45" spans="1:2">
      <c r="A45" t="s">
        <v>678</v>
      </c>
      <c r="B45" t="s">
        <v>836</v>
      </c>
    </row>
    <row r="46" spans="1:2">
      <c r="A46" t="s">
        <v>679</v>
      </c>
      <c r="B46" t="s">
        <v>837</v>
      </c>
    </row>
    <row r="47" spans="1:2">
      <c r="A47" t="s">
        <v>680</v>
      </c>
      <c r="B47" t="s">
        <v>838</v>
      </c>
    </row>
    <row r="48" spans="1:2">
      <c r="A48" t="s">
        <v>681</v>
      </c>
      <c r="B48" t="s">
        <v>839</v>
      </c>
    </row>
    <row r="49" spans="1:2">
      <c r="A49" t="s">
        <v>682</v>
      </c>
      <c r="B49" t="s">
        <v>840</v>
      </c>
    </row>
    <row r="50" spans="1:2">
      <c r="A50" t="s">
        <v>683</v>
      </c>
      <c r="B50" t="s">
        <v>841</v>
      </c>
    </row>
    <row r="51" spans="1:2">
      <c r="A51" t="s">
        <v>684</v>
      </c>
      <c r="B51" t="s">
        <v>842</v>
      </c>
    </row>
    <row r="52" spans="1:2">
      <c r="A52" t="s">
        <v>685</v>
      </c>
      <c r="B52" t="s">
        <v>843</v>
      </c>
    </row>
    <row r="53" spans="1:2">
      <c r="A53" t="s">
        <v>686</v>
      </c>
      <c r="B53" t="s">
        <v>844</v>
      </c>
    </row>
    <row r="54" spans="1:2">
      <c r="A54" t="s">
        <v>687</v>
      </c>
      <c r="B54" t="s">
        <v>845</v>
      </c>
    </row>
    <row r="55" spans="1:2">
      <c r="A55" t="s">
        <v>688</v>
      </c>
      <c r="B55" t="s">
        <v>846</v>
      </c>
    </row>
    <row r="56" spans="1:2">
      <c r="A56" t="s">
        <v>689</v>
      </c>
      <c r="B56" t="s">
        <v>847</v>
      </c>
    </row>
    <row r="57" spans="1:2">
      <c r="A57" t="s">
        <v>690</v>
      </c>
      <c r="B57" t="s">
        <v>848</v>
      </c>
    </row>
    <row r="58" spans="1:2">
      <c r="A58" t="s">
        <v>691</v>
      </c>
      <c r="B58" t="s">
        <v>849</v>
      </c>
    </row>
    <row r="59" spans="1:2">
      <c r="A59" t="s">
        <v>692</v>
      </c>
      <c r="B59" t="s">
        <v>850</v>
      </c>
    </row>
    <row r="60" spans="1:2">
      <c r="A60" t="s">
        <v>693</v>
      </c>
      <c r="B60" t="s">
        <v>851</v>
      </c>
    </row>
    <row r="61" spans="1:2">
      <c r="A61" t="s">
        <v>694</v>
      </c>
      <c r="B61" t="s">
        <v>852</v>
      </c>
    </row>
    <row r="62" spans="1:2">
      <c r="A62" t="s">
        <v>695</v>
      </c>
      <c r="B62" t="s">
        <v>853</v>
      </c>
    </row>
    <row r="63" spans="1:2">
      <c r="A63" t="s">
        <v>696</v>
      </c>
      <c r="B63" t="s">
        <v>854</v>
      </c>
    </row>
    <row r="64" spans="1:2">
      <c r="A64" t="s">
        <v>697</v>
      </c>
      <c r="B64" t="s">
        <v>855</v>
      </c>
    </row>
    <row r="65" spans="1:2">
      <c r="A65" t="s">
        <v>698</v>
      </c>
      <c r="B65" t="s">
        <v>856</v>
      </c>
    </row>
    <row r="66" spans="1:2">
      <c r="A66" t="s">
        <v>699</v>
      </c>
      <c r="B66" t="s">
        <v>857</v>
      </c>
    </row>
    <row r="67" spans="1:2">
      <c r="A67" t="s">
        <v>700</v>
      </c>
      <c r="B67" t="s">
        <v>858</v>
      </c>
    </row>
    <row r="68" spans="1:2">
      <c r="A68" t="s">
        <v>701</v>
      </c>
      <c r="B68" t="s">
        <v>859</v>
      </c>
    </row>
    <row r="69" spans="1:2">
      <c r="A69" t="s">
        <v>702</v>
      </c>
      <c r="B69" t="s">
        <v>860</v>
      </c>
    </row>
    <row r="70" spans="1:2">
      <c r="A70" t="s">
        <v>703</v>
      </c>
      <c r="B70" t="s">
        <v>861</v>
      </c>
    </row>
    <row r="71" spans="1:2">
      <c r="A71" t="s">
        <v>787</v>
      </c>
      <c r="B71" t="s">
        <v>862</v>
      </c>
    </row>
    <row r="72" spans="1:2">
      <c r="A72" t="s">
        <v>704</v>
      </c>
      <c r="B72" t="s">
        <v>863</v>
      </c>
    </row>
    <row r="73" spans="1:2">
      <c r="A73" t="s">
        <v>705</v>
      </c>
      <c r="B73" t="s">
        <v>864</v>
      </c>
    </row>
    <row r="74" spans="1:2">
      <c r="A74" t="s">
        <v>706</v>
      </c>
      <c r="B74" t="s">
        <v>865</v>
      </c>
    </row>
    <row r="75" spans="1:2">
      <c r="A75" t="s">
        <v>707</v>
      </c>
      <c r="B75" t="s">
        <v>866</v>
      </c>
    </row>
    <row r="76" spans="1:2">
      <c r="A76" t="s">
        <v>708</v>
      </c>
      <c r="B76" t="s">
        <v>867</v>
      </c>
    </row>
    <row r="77" spans="1:2">
      <c r="A77" t="s">
        <v>709</v>
      </c>
      <c r="B77" t="s">
        <v>868</v>
      </c>
    </row>
    <row r="78" spans="1:2">
      <c r="A78" t="s">
        <v>788</v>
      </c>
      <c r="B78" t="s">
        <v>869</v>
      </c>
    </row>
    <row r="79" spans="1:2">
      <c r="A79" t="s">
        <v>710</v>
      </c>
      <c r="B79" t="s">
        <v>870</v>
      </c>
    </row>
    <row r="80" spans="1:2">
      <c r="A80" t="s">
        <v>711</v>
      </c>
      <c r="B80" t="s">
        <v>871</v>
      </c>
    </row>
    <row r="81" spans="1:2">
      <c r="A81" t="s">
        <v>712</v>
      </c>
      <c r="B81" t="s">
        <v>872</v>
      </c>
    </row>
    <row r="82" spans="1:2">
      <c r="A82" t="s">
        <v>713</v>
      </c>
      <c r="B82" t="s">
        <v>873</v>
      </c>
    </row>
    <row r="83" spans="1:2">
      <c r="A83" t="s">
        <v>714</v>
      </c>
      <c r="B83" t="s">
        <v>874</v>
      </c>
    </row>
    <row r="84" spans="1:2">
      <c r="A84" t="s">
        <v>789</v>
      </c>
      <c r="B84" t="s">
        <v>875</v>
      </c>
    </row>
    <row r="85" spans="1:2">
      <c r="A85" t="s">
        <v>715</v>
      </c>
      <c r="B85" t="s">
        <v>876</v>
      </c>
    </row>
    <row r="86" spans="1:2">
      <c r="A86" t="s">
        <v>716</v>
      </c>
      <c r="B86" t="s">
        <v>877</v>
      </c>
    </row>
    <row r="87" spans="1:2">
      <c r="A87" t="s">
        <v>717</v>
      </c>
      <c r="B87" t="s">
        <v>878</v>
      </c>
    </row>
    <row r="88" spans="1:2">
      <c r="A88" t="s">
        <v>718</v>
      </c>
      <c r="B88" t="s">
        <v>879</v>
      </c>
    </row>
    <row r="89" spans="1:2">
      <c r="A89" t="s">
        <v>719</v>
      </c>
      <c r="B89" t="s">
        <v>880</v>
      </c>
    </row>
    <row r="90" spans="1:2">
      <c r="A90" t="s">
        <v>720</v>
      </c>
      <c r="B90" t="s">
        <v>881</v>
      </c>
    </row>
    <row r="91" spans="1:2">
      <c r="A91" t="s">
        <v>721</v>
      </c>
      <c r="B91" t="s">
        <v>882</v>
      </c>
    </row>
    <row r="92" spans="1:2">
      <c r="A92" t="s">
        <v>722</v>
      </c>
      <c r="B92" t="s">
        <v>883</v>
      </c>
    </row>
    <row r="93" spans="1:2">
      <c r="A93" t="s">
        <v>723</v>
      </c>
      <c r="B93" t="s">
        <v>884</v>
      </c>
    </row>
    <row r="94" spans="1:2">
      <c r="A94" t="s">
        <v>724</v>
      </c>
      <c r="B94" t="s">
        <v>885</v>
      </c>
    </row>
    <row r="95" spans="1:2">
      <c r="A95" t="s">
        <v>725</v>
      </c>
      <c r="B95" t="s">
        <v>886</v>
      </c>
    </row>
    <row r="96" spans="1:2">
      <c r="A96" t="s">
        <v>726</v>
      </c>
      <c r="B96" t="s">
        <v>887</v>
      </c>
    </row>
    <row r="97" spans="1:2">
      <c r="A97" t="s">
        <v>727</v>
      </c>
      <c r="B97" t="s">
        <v>888</v>
      </c>
    </row>
    <row r="98" spans="1:2">
      <c r="A98" t="s">
        <v>728</v>
      </c>
      <c r="B98" t="s">
        <v>889</v>
      </c>
    </row>
    <row r="99" spans="1:2">
      <c r="A99" t="s">
        <v>729</v>
      </c>
      <c r="B99" t="s">
        <v>890</v>
      </c>
    </row>
    <row r="100" spans="1:2">
      <c r="A100" t="s">
        <v>730</v>
      </c>
      <c r="B100" t="s">
        <v>891</v>
      </c>
    </row>
    <row r="101" spans="1:2">
      <c r="A101" t="s">
        <v>731</v>
      </c>
      <c r="B101" t="s">
        <v>892</v>
      </c>
    </row>
    <row r="102" spans="1:2">
      <c r="A102" t="s">
        <v>732</v>
      </c>
      <c r="B102" t="s">
        <v>893</v>
      </c>
    </row>
    <row r="103" spans="1:2">
      <c r="A103" t="s">
        <v>733</v>
      </c>
      <c r="B103" t="s">
        <v>894</v>
      </c>
    </row>
    <row r="104" spans="1:2">
      <c r="A104" t="s">
        <v>734</v>
      </c>
      <c r="B104" t="s">
        <v>895</v>
      </c>
    </row>
    <row r="105" spans="1:2">
      <c r="A105" t="s">
        <v>735</v>
      </c>
      <c r="B105" t="s">
        <v>896</v>
      </c>
    </row>
    <row r="106" spans="1:2">
      <c r="A106" t="s">
        <v>736</v>
      </c>
      <c r="B106" t="s">
        <v>897</v>
      </c>
    </row>
    <row r="107" spans="1:2">
      <c r="A107" t="s">
        <v>737</v>
      </c>
      <c r="B107" t="s">
        <v>898</v>
      </c>
    </row>
    <row r="108" spans="1:2">
      <c r="A108" t="s">
        <v>738</v>
      </c>
      <c r="B108" t="s">
        <v>899</v>
      </c>
    </row>
    <row r="109" spans="1:2">
      <c r="A109" t="s">
        <v>739</v>
      </c>
      <c r="B109" t="s">
        <v>900</v>
      </c>
    </row>
    <row r="110" spans="1:2">
      <c r="A110" t="s">
        <v>740</v>
      </c>
      <c r="B110" t="s">
        <v>901</v>
      </c>
    </row>
    <row r="111" spans="1:2">
      <c r="A111" t="s">
        <v>741</v>
      </c>
      <c r="B111" t="s">
        <v>902</v>
      </c>
    </row>
    <row r="112" spans="1:2">
      <c r="A112" t="s">
        <v>742</v>
      </c>
      <c r="B112" t="s">
        <v>903</v>
      </c>
    </row>
    <row r="113" spans="1:2">
      <c r="A113" t="s">
        <v>743</v>
      </c>
      <c r="B113" t="s">
        <v>904</v>
      </c>
    </row>
    <row r="114" spans="1:2">
      <c r="A114" t="s">
        <v>744</v>
      </c>
      <c r="B114" t="s">
        <v>905</v>
      </c>
    </row>
    <row r="115" spans="1:2">
      <c r="A115" t="s">
        <v>745</v>
      </c>
      <c r="B115" t="s">
        <v>906</v>
      </c>
    </row>
    <row r="116" spans="1:2">
      <c r="A116" t="s">
        <v>746</v>
      </c>
      <c r="B116" t="s">
        <v>907</v>
      </c>
    </row>
    <row r="117" spans="1:2">
      <c r="A117" t="s">
        <v>747</v>
      </c>
      <c r="B117" t="s">
        <v>908</v>
      </c>
    </row>
    <row r="118" spans="1:2">
      <c r="A118" t="s">
        <v>748</v>
      </c>
      <c r="B118" t="s">
        <v>909</v>
      </c>
    </row>
    <row r="119" spans="1:2">
      <c r="A119" t="s">
        <v>790</v>
      </c>
      <c r="B119" t="s">
        <v>910</v>
      </c>
    </row>
    <row r="120" spans="1:2">
      <c r="A120" t="s">
        <v>749</v>
      </c>
      <c r="B120" t="s">
        <v>911</v>
      </c>
    </row>
    <row r="121" spans="1:2">
      <c r="A121" t="s">
        <v>750</v>
      </c>
      <c r="B121" t="s">
        <v>912</v>
      </c>
    </row>
    <row r="122" spans="1:2">
      <c r="A122" t="s">
        <v>751</v>
      </c>
      <c r="B122" t="s">
        <v>913</v>
      </c>
    </row>
    <row r="123" spans="1:2">
      <c r="A123" t="s">
        <v>752</v>
      </c>
      <c r="B123" t="s">
        <v>914</v>
      </c>
    </row>
    <row r="124" spans="1:2">
      <c r="A124" t="s">
        <v>753</v>
      </c>
      <c r="B124" t="s">
        <v>915</v>
      </c>
    </row>
    <row r="125" spans="1:2">
      <c r="A125" t="s">
        <v>754</v>
      </c>
      <c r="B125" t="s">
        <v>916</v>
      </c>
    </row>
    <row r="126" spans="1:2">
      <c r="A126" t="s">
        <v>755</v>
      </c>
      <c r="B126" t="s">
        <v>917</v>
      </c>
    </row>
    <row r="127" spans="1:2">
      <c r="A127" t="s">
        <v>756</v>
      </c>
      <c r="B127" t="s">
        <v>918</v>
      </c>
    </row>
    <row r="128" spans="1:2">
      <c r="A128" t="s">
        <v>757</v>
      </c>
      <c r="B128" t="s">
        <v>919</v>
      </c>
    </row>
    <row r="129" spans="1:2">
      <c r="A129" t="s">
        <v>758</v>
      </c>
      <c r="B129" t="s">
        <v>920</v>
      </c>
    </row>
    <row r="130" spans="1:2">
      <c r="A130" t="s">
        <v>759</v>
      </c>
      <c r="B130" t="s">
        <v>921</v>
      </c>
    </row>
    <row r="131" spans="1:2">
      <c r="A131" t="s">
        <v>760</v>
      </c>
      <c r="B131" t="s">
        <v>922</v>
      </c>
    </row>
    <row r="132" spans="1:2">
      <c r="A132" t="s">
        <v>761</v>
      </c>
      <c r="B132" t="s">
        <v>923</v>
      </c>
    </row>
    <row r="133" spans="1:2">
      <c r="A133" t="s">
        <v>762</v>
      </c>
      <c r="B133" t="s">
        <v>924</v>
      </c>
    </row>
    <row r="134" spans="1:2">
      <c r="A134" t="s">
        <v>763</v>
      </c>
      <c r="B134" t="s">
        <v>925</v>
      </c>
    </row>
    <row r="135" spans="1:2">
      <c r="A135" t="s">
        <v>764</v>
      </c>
      <c r="B135" t="s">
        <v>926</v>
      </c>
    </row>
    <row r="136" spans="1:2">
      <c r="A136" t="s">
        <v>765</v>
      </c>
      <c r="B136" t="s">
        <v>927</v>
      </c>
    </row>
    <row r="137" spans="1:2">
      <c r="A137" t="s">
        <v>766</v>
      </c>
      <c r="B137" t="s">
        <v>928</v>
      </c>
    </row>
    <row r="138" spans="1:2">
      <c r="A138" t="s">
        <v>767</v>
      </c>
      <c r="B138" t="s">
        <v>929</v>
      </c>
    </row>
    <row r="139" spans="1:2">
      <c r="A139" t="s">
        <v>768</v>
      </c>
      <c r="B139" t="s">
        <v>930</v>
      </c>
    </row>
    <row r="140" spans="1:2">
      <c r="A140" t="s">
        <v>791</v>
      </c>
      <c r="B140" t="s">
        <v>931</v>
      </c>
    </row>
    <row r="141" spans="1:2">
      <c r="A141" t="s">
        <v>769</v>
      </c>
      <c r="B141" t="s">
        <v>932</v>
      </c>
    </row>
    <row r="142" spans="1:2">
      <c r="A142" t="s">
        <v>770</v>
      </c>
      <c r="B142" t="s">
        <v>933</v>
      </c>
    </row>
    <row r="143" spans="1:2">
      <c r="A143" t="s">
        <v>602</v>
      </c>
      <c r="B143" t="s">
        <v>934</v>
      </c>
    </row>
    <row r="144" spans="1:2">
      <c r="A144" t="s">
        <v>771</v>
      </c>
      <c r="B144" t="s">
        <v>935</v>
      </c>
    </row>
    <row r="145" spans="1:2">
      <c r="A145" t="s">
        <v>772</v>
      </c>
      <c r="B145" t="s">
        <v>936</v>
      </c>
    </row>
    <row r="146" spans="1:2">
      <c r="A146" t="s">
        <v>773</v>
      </c>
      <c r="B146" t="s">
        <v>937</v>
      </c>
    </row>
    <row r="147" spans="1:2">
      <c r="A147" t="s">
        <v>774</v>
      </c>
      <c r="B147" t="s">
        <v>938</v>
      </c>
    </row>
    <row r="148" spans="1:2">
      <c r="A148" t="s">
        <v>775</v>
      </c>
      <c r="B148" t="s">
        <v>939</v>
      </c>
    </row>
    <row r="149" spans="1:2">
      <c r="A149" t="s">
        <v>776</v>
      </c>
      <c r="B149" t="s">
        <v>940</v>
      </c>
    </row>
    <row r="150" spans="1:2">
      <c r="A150" t="s">
        <v>777</v>
      </c>
      <c r="B150" t="s">
        <v>941</v>
      </c>
    </row>
    <row r="151" spans="1:2">
      <c r="A151" t="s">
        <v>778</v>
      </c>
      <c r="B151" t="s">
        <v>942</v>
      </c>
    </row>
    <row r="152" spans="1:2">
      <c r="A152" t="s">
        <v>779</v>
      </c>
      <c r="B152" t="s">
        <v>943</v>
      </c>
    </row>
    <row r="153" spans="1:2">
      <c r="A153" t="s">
        <v>780</v>
      </c>
      <c r="B153" t="s">
        <v>944</v>
      </c>
    </row>
    <row r="154" spans="1:2">
      <c r="A154" t="s">
        <v>781</v>
      </c>
      <c r="B154" t="s">
        <v>945</v>
      </c>
    </row>
    <row r="155" spans="1:2">
      <c r="A155" t="s">
        <v>782</v>
      </c>
      <c r="B155" t="s">
        <v>946</v>
      </c>
    </row>
    <row r="156" spans="1:2">
      <c r="A156" t="s">
        <v>783</v>
      </c>
      <c r="B156" t="s">
        <v>947</v>
      </c>
    </row>
    <row r="157" spans="1:2">
      <c r="A157" t="s">
        <v>784</v>
      </c>
      <c r="B157" t="s">
        <v>948</v>
      </c>
    </row>
    <row r="158" spans="1:2">
      <c r="A158" t="s">
        <v>785</v>
      </c>
      <c r="B158" t="s">
        <v>949</v>
      </c>
    </row>
    <row r="159" spans="1:2" ht="17">
      <c r="A159" s="13" t="s">
        <v>634</v>
      </c>
      <c r="B159" t="s">
        <v>950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2020-12-29T23:52:25Z</dcterms:modified>
</cp:coreProperties>
</file>