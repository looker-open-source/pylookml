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ussgarner/code/py/pyLookML/lookml/lang_map_generator/"/>
    </mc:Choice>
  </mc:AlternateContent>
  <xr:revisionPtr revIDLastSave="0" documentId="13_ncr:1_{8E929EAE-259C-024D-A091-1F72555ABABC}" xr6:coauthVersionLast="45" xr6:coauthVersionMax="45" xr10:uidLastSave="{00000000-0000-0000-0000-000000000000}"/>
  <bookViews>
    <workbookView xWindow="0" yWindow="460" windowWidth="33600" windowHeight="19480" xr2:uid="{00000000-000D-0000-FFFF-FFFF00000000}"/>
  </bookViews>
  <sheets>
    <sheet name="map" sheetId="7" r:id="rId1"/>
  </sheets>
  <functionGroups builtInGroupCount="19"/>
  <definedNames>
    <definedName name="_xlnm._FilterDatabase" localSheetId="0" hidden="1">map!$A$1:$J$409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358" i="7" l="1"/>
  <c r="R358" i="7"/>
  <c r="S358" i="7"/>
  <c r="Q359" i="7"/>
  <c r="R359" i="7"/>
  <c r="S359" i="7"/>
  <c r="Q360" i="7"/>
  <c r="R360" i="7"/>
  <c r="S360" i="7"/>
  <c r="Q361" i="7"/>
  <c r="R361" i="7"/>
  <c r="S361" i="7"/>
  <c r="Q362" i="7"/>
  <c r="R362" i="7"/>
  <c r="S362" i="7"/>
  <c r="Q363" i="7"/>
  <c r="R363" i="7"/>
  <c r="S363" i="7"/>
  <c r="Q364" i="7"/>
  <c r="R364" i="7"/>
  <c r="S364" i="7"/>
  <c r="Q365" i="7"/>
  <c r="R365" i="7"/>
  <c r="S365" i="7"/>
  <c r="Q366" i="7"/>
  <c r="R366" i="7"/>
  <c r="S366" i="7"/>
  <c r="Q367" i="7"/>
  <c r="R367" i="7"/>
  <c r="S367" i="7"/>
  <c r="Q368" i="7"/>
  <c r="R368" i="7"/>
  <c r="S368" i="7"/>
  <c r="Q369" i="7"/>
  <c r="R369" i="7"/>
  <c r="S369" i="7"/>
  <c r="Q370" i="7"/>
  <c r="R370" i="7"/>
  <c r="S370" i="7"/>
  <c r="Q371" i="7"/>
  <c r="R371" i="7"/>
  <c r="S371" i="7"/>
  <c r="Q372" i="7"/>
  <c r="R372" i="7"/>
  <c r="S372" i="7"/>
  <c r="Q373" i="7"/>
  <c r="R373" i="7"/>
  <c r="S373" i="7"/>
  <c r="Q374" i="7"/>
  <c r="R374" i="7"/>
  <c r="S374" i="7"/>
  <c r="Q375" i="7"/>
  <c r="R375" i="7"/>
  <c r="S375" i="7"/>
  <c r="Q376" i="7"/>
  <c r="R376" i="7"/>
  <c r="S376" i="7"/>
  <c r="Q377" i="7"/>
  <c r="R377" i="7"/>
  <c r="S377" i="7"/>
  <c r="Q378" i="7"/>
  <c r="R378" i="7"/>
  <c r="S378" i="7"/>
  <c r="Q379" i="7"/>
  <c r="R379" i="7"/>
  <c r="S379" i="7"/>
  <c r="Q380" i="7"/>
  <c r="R380" i="7"/>
  <c r="S380" i="7"/>
  <c r="Q381" i="7"/>
  <c r="R381" i="7"/>
  <c r="S381" i="7"/>
  <c r="Q382" i="7"/>
  <c r="R382" i="7"/>
  <c r="S382" i="7"/>
  <c r="Q383" i="7"/>
  <c r="R383" i="7"/>
  <c r="S383" i="7"/>
  <c r="Q384" i="7"/>
  <c r="R384" i="7"/>
  <c r="S384" i="7"/>
  <c r="Q385" i="7"/>
  <c r="R385" i="7"/>
  <c r="S385" i="7"/>
  <c r="Q386" i="7"/>
  <c r="R386" i="7"/>
  <c r="S386" i="7"/>
  <c r="Q387" i="7"/>
  <c r="R387" i="7"/>
  <c r="S387" i="7"/>
  <c r="Q388" i="7"/>
  <c r="R388" i="7"/>
  <c r="S388" i="7"/>
  <c r="Q389" i="7"/>
  <c r="R389" i="7"/>
  <c r="S389" i="7"/>
  <c r="Q390" i="7"/>
  <c r="R390" i="7"/>
  <c r="S390" i="7"/>
  <c r="Q391" i="7"/>
  <c r="R391" i="7"/>
  <c r="S391" i="7"/>
  <c r="Q392" i="7"/>
  <c r="R392" i="7"/>
  <c r="S392" i="7"/>
  <c r="Q393" i="7"/>
  <c r="R393" i="7"/>
  <c r="S393" i="7"/>
  <c r="Q394" i="7"/>
  <c r="R394" i="7"/>
  <c r="S394" i="7"/>
  <c r="Q395" i="7"/>
  <c r="R395" i="7"/>
  <c r="S395" i="7"/>
  <c r="Q396" i="7"/>
  <c r="R396" i="7"/>
  <c r="S396" i="7"/>
  <c r="Q397" i="7"/>
  <c r="R397" i="7"/>
  <c r="S397" i="7"/>
  <c r="Q398" i="7"/>
  <c r="R398" i="7"/>
  <c r="S398" i="7"/>
  <c r="Q399" i="7"/>
  <c r="R399" i="7"/>
  <c r="S399" i="7"/>
  <c r="Q400" i="7"/>
  <c r="R400" i="7"/>
  <c r="S400" i="7"/>
  <c r="Q401" i="7"/>
  <c r="R401" i="7"/>
  <c r="S401" i="7"/>
  <c r="Q402" i="7"/>
  <c r="R402" i="7"/>
  <c r="S402" i="7"/>
  <c r="Q403" i="7"/>
  <c r="R403" i="7"/>
  <c r="S403" i="7"/>
  <c r="Q404" i="7"/>
  <c r="R404" i="7"/>
  <c r="S404" i="7"/>
  <c r="Q405" i="7"/>
  <c r="R405" i="7"/>
  <c r="S405" i="7"/>
  <c r="Q406" i="7"/>
  <c r="R406" i="7"/>
  <c r="S406" i="7"/>
  <c r="Q407" i="7"/>
  <c r="R407" i="7"/>
  <c r="S407" i="7"/>
  <c r="Q408" i="7"/>
  <c r="R408" i="7"/>
  <c r="S408" i="7"/>
  <c r="Q409" i="7"/>
  <c r="R409" i="7"/>
  <c r="S409" i="7"/>
  <c r="P358" i="7"/>
  <c r="P359" i="7"/>
  <c r="P360" i="7"/>
  <c r="P361" i="7"/>
  <c r="P362" i="7"/>
  <c r="P363" i="7"/>
  <c r="P364" i="7"/>
  <c r="P365" i="7"/>
  <c r="P366" i="7"/>
  <c r="P367" i="7"/>
  <c r="P368" i="7"/>
  <c r="P369" i="7"/>
  <c r="P370" i="7"/>
  <c r="P371" i="7"/>
  <c r="P372" i="7"/>
  <c r="P373" i="7"/>
  <c r="P374" i="7"/>
  <c r="P375" i="7"/>
  <c r="P376" i="7"/>
  <c r="P377" i="7"/>
  <c r="P378" i="7"/>
  <c r="P379" i="7"/>
  <c r="P380" i="7"/>
  <c r="P381" i="7"/>
  <c r="P382" i="7"/>
  <c r="P383" i="7"/>
  <c r="P384" i="7"/>
  <c r="P385" i="7"/>
  <c r="P386" i="7"/>
  <c r="P387" i="7"/>
  <c r="P388" i="7"/>
  <c r="P389" i="7"/>
  <c r="P390" i="7"/>
  <c r="P391" i="7"/>
  <c r="P392" i="7"/>
  <c r="P393" i="7"/>
  <c r="P394" i="7"/>
  <c r="P395" i="7"/>
  <c r="P396" i="7"/>
  <c r="P397" i="7"/>
  <c r="P398" i="7"/>
  <c r="P399" i="7"/>
  <c r="P400" i="7"/>
  <c r="P401" i="7"/>
  <c r="P402" i="7"/>
  <c r="P403" i="7"/>
  <c r="P404" i="7"/>
  <c r="P405" i="7"/>
  <c r="P406" i="7"/>
  <c r="P407" i="7"/>
  <c r="P408" i="7"/>
  <c r="P409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N354" i="7"/>
  <c r="N355" i="7"/>
  <c r="N356" i="7"/>
  <c r="N357" i="7"/>
  <c r="N358" i="7"/>
  <c r="N359" i="7"/>
  <c r="N360" i="7"/>
  <c r="N361" i="7"/>
  <c r="N362" i="7"/>
  <c r="N363" i="7"/>
  <c r="N364" i="7"/>
  <c r="N365" i="7"/>
  <c r="N366" i="7"/>
  <c r="N367" i="7"/>
  <c r="N368" i="7"/>
  <c r="N369" i="7"/>
  <c r="N370" i="7"/>
  <c r="N371" i="7"/>
  <c r="N372" i="7"/>
  <c r="N373" i="7"/>
  <c r="N374" i="7"/>
  <c r="N375" i="7"/>
  <c r="N376" i="7"/>
  <c r="N377" i="7"/>
  <c r="N378" i="7"/>
  <c r="N379" i="7"/>
  <c r="N380" i="7"/>
  <c r="N381" i="7"/>
  <c r="N382" i="7"/>
  <c r="N383" i="7"/>
  <c r="N384" i="7"/>
  <c r="N385" i="7"/>
  <c r="N386" i="7"/>
  <c r="N387" i="7"/>
  <c r="N388" i="7"/>
  <c r="N389" i="7"/>
  <c r="N390" i="7"/>
  <c r="N391" i="7"/>
  <c r="N392" i="7"/>
  <c r="N393" i="7"/>
  <c r="N394" i="7"/>
  <c r="N395" i="7"/>
  <c r="N396" i="7"/>
  <c r="N397" i="7"/>
  <c r="N398" i="7"/>
  <c r="N399" i="7"/>
  <c r="N400" i="7"/>
  <c r="N401" i="7"/>
  <c r="N402" i="7"/>
  <c r="N403" i="7"/>
  <c r="N404" i="7"/>
  <c r="N405" i="7"/>
  <c r="N406" i="7"/>
  <c r="N407" i="7"/>
  <c r="N408" i="7"/>
  <c r="N409" i="7"/>
  <c r="T376" i="7"/>
  <c r="T377" i="7"/>
  <c r="T378" i="7"/>
  <c r="T379" i="7"/>
  <c r="T380" i="7"/>
  <c r="T381" i="7"/>
  <c r="T382" i="7"/>
  <c r="T383" i="7"/>
  <c r="T384" i="7"/>
  <c r="T385" i="7"/>
  <c r="T386" i="7"/>
  <c r="T387" i="7"/>
  <c r="T388" i="7"/>
  <c r="T389" i="7"/>
  <c r="T390" i="7"/>
  <c r="T391" i="7"/>
  <c r="T392" i="7"/>
  <c r="T393" i="7"/>
  <c r="T394" i="7"/>
  <c r="T395" i="7"/>
  <c r="T396" i="7"/>
  <c r="T397" i="7"/>
  <c r="T398" i="7"/>
  <c r="T399" i="7"/>
  <c r="T400" i="7"/>
  <c r="T401" i="7"/>
  <c r="T402" i="7"/>
  <c r="T403" i="7"/>
  <c r="T404" i="7"/>
  <c r="T405" i="7"/>
  <c r="T406" i="7"/>
  <c r="T407" i="7"/>
  <c r="T408" i="7"/>
  <c r="T409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T370" i="7"/>
  <c r="T371" i="7"/>
  <c r="T372" i="7"/>
  <c r="T373" i="7"/>
  <c r="T374" i="7"/>
  <c r="T375" i="7"/>
  <c r="S356" i="7"/>
  <c r="S357" i="7"/>
  <c r="R354" i="7"/>
  <c r="R355" i="7"/>
  <c r="R356" i="7"/>
  <c r="R357" i="7"/>
  <c r="K356" i="7"/>
  <c r="L356" i="7" s="1"/>
  <c r="K357" i="7"/>
  <c r="L357" i="7" s="1"/>
  <c r="Q357" i="7"/>
  <c r="Q356" i="7"/>
  <c r="P357" i="7"/>
  <c r="P356" i="7"/>
  <c r="Q355" i="7"/>
  <c r="Q354" i="7"/>
  <c r="P355" i="7"/>
  <c r="P354" i="7"/>
  <c r="O355" i="7"/>
  <c r="O354" i="7"/>
  <c r="K354" i="7"/>
  <c r="K355" i="7"/>
  <c r="L355" i="7" s="1"/>
  <c r="S355" i="7"/>
  <c r="S354" i="7"/>
  <c r="L354" i="7" l="1"/>
  <c r="M401" i="7"/>
  <c r="M389" i="7"/>
  <c r="M402" i="7"/>
  <c r="M390" i="7"/>
  <c r="M361" i="7"/>
  <c r="M373" i="7"/>
  <c r="M396" i="7"/>
  <c r="M384" i="7"/>
  <c r="M360" i="7"/>
  <c r="M409" i="7"/>
  <c r="M383" i="7"/>
  <c r="M397" i="7"/>
  <c r="M408" i="7"/>
  <c r="M395" i="7"/>
  <c r="M385" i="7"/>
  <c r="M407" i="7"/>
  <c r="M359" i="7"/>
  <c r="M391" i="7"/>
  <c r="M379" i="7"/>
  <c r="M367" i="7"/>
  <c r="M403" i="7"/>
  <c r="M406" i="7"/>
  <c r="M394" i="7"/>
  <c r="M382" i="7"/>
  <c r="M370" i="7"/>
  <c r="M358" i="7"/>
  <c r="M405" i="7"/>
  <c r="M393" i="7"/>
  <c r="M381" i="7"/>
  <c r="M369" i="7"/>
  <c r="M357" i="7"/>
  <c r="M404" i="7"/>
  <c r="M380" i="7"/>
  <c r="M356" i="7"/>
  <c r="M392" i="7"/>
  <c r="M368" i="7"/>
  <c r="M355" i="7"/>
  <c r="M372" i="7"/>
  <c r="M378" i="7"/>
  <c r="M366" i="7"/>
  <c r="M354" i="7"/>
  <c r="M377" i="7"/>
  <c r="M365" i="7"/>
  <c r="M400" i="7"/>
  <c r="M388" i="7"/>
  <c r="M376" i="7"/>
  <c r="M364" i="7"/>
  <c r="M399" i="7"/>
  <c r="M387" i="7"/>
  <c r="M375" i="7"/>
  <c r="M363" i="7"/>
  <c r="M371" i="7"/>
  <c r="M398" i="7"/>
  <c r="M386" i="7"/>
  <c r="M374" i="7"/>
  <c r="M362" i="7"/>
  <c r="T351" i="7"/>
  <c r="T352" i="7"/>
  <c r="T353" i="7"/>
  <c r="S352" i="7"/>
  <c r="S353" i="7"/>
  <c r="Q351" i="7"/>
  <c r="R351" i="7"/>
  <c r="Q352" i="7"/>
  <c r="R352" i="7"/>
  <c r="Q353" i="7"/>
  <c r="R353" i="7"/>
  <c r="N351" i="7"/>
  <c r="O351" i="7"/>
  <c r="N352" i="7"/>
  <c r="O352" i="7"/>
  <c r="N353" i="7"/>
  <c r="O353" i="7"/>
  <c r="K351" i="7"/>
  <c r="K352" i="7"/>
  <c r="K353" i="7"/>
  <c r="P353" i="7"/>
  <c r="P352" i="7"/>
  <c r="S351" i="7"/>
  <c r="P351" i="7"/>
  <c r="P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2" i="7"/>
  <c r="K350" i="7"/>
  <c r="Q350" i="7"/>
  <c r="R350" i="7"/>
  <c r="S350" i="7"/>
  <c r="T350" i="7"/>
  <c r="T348" i="7"/>
  <c r="T349" i="7"/>
  <c r="R348" i="7"/>
  <c r="R349" i="7"/>
  <c r="N348" i="7"/>
  <c r="N349" i="7"/>
  <c r="N350" i="7"/>
  <c r="O348" i="7"/>
  <c r="O349" i="7"/>
  <c r="O350" i="7"/>
  <c r="O3" i="7"/>
  <c r="O4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2" i="7"/>
  <c r="R2" i="7"/>
  <c r="Q2" i="7"/>
  <c r="K348" i="7"/>
  <c r="K349" i="7"/>
  <c r="S349" i="7"/>
  <c r="Q349" i="7"/>
  <c r="Q348" i="7"/>
  <c r="S348" i="7"/>
  <c r="M352" i="7" l="1"/>
  <c r="L352" i="7" s="1"/>
  <c r="M351" i="7"/>
  <c r="L351" i="7" s="1"/>
  <c r="M353" i="7"/>
  <c r="L353" i="7" s="1"/>
  <c r="M350" i="7"/>
  <c r="L349" i="7"/>
  <c r="M349" i="7"/>
  <c r="M348" i="7"/>
  <c r="L350" i="7"/>
  <c r="L348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" i="7"/>
  <c r="Q3" i="7" l="1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76" i="7"/>
  <c r="Q77" i="7"/>
  <c r="Q78" i="7"/>
  <c r="Q79" i="7"/>
  <c r="Q80" i="7"/>
  <c r="Q81" i="7"/>
  <c r="Q82" i="7"/>
  <c r="Q83" i="7"/>
  <c r="Q84" i="7"/>
  <c r="Q85" i="7"/>
  <c r="Q86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2" i="7"/>
  <c r="T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2" i="7"/>
  <c r="N3" i="7"/>
  <c r="R3" i="7"/>
  <c r="N4" i="7"/>
  <c r="R4" i="7"/>
  <c r="N5" i="7"/>
  <c r="R5" i="7"/>
  <c r="N6" i="7"/>
  <c r="R6" i="7"/>
  <c r="N7" i="7"/>
  <c r="R7" i="7"/>
  <c r="N8" i="7"/>
  <c r="R8" i="7"/>
  <c r="N9" i="7"/>
  <c r="R9" i="7"/>
  <c r="N10" i="7"/>
  <c r="R10" i="7"/>
  <c r="N11" i="7"/>
  <c r="R11" i="7"/>
  <c r="N12" i="7"/>
  <c r="R12" i="7"/>
  <c r="N13" i="7"/>
  <c r="R13" i="7"/>
  <c r="N14" i="7"/>
  <c r="R14" i="7"/>
  <c r="N15" i="7"/>
  <c r="R15" i="7"/>
  <c r="N16" i="7"/>
  <c r="R16" i="7"/>
  <c r="N17" i="7"/>
  <c r="R17" i="7"/>
  <c r="N18" i="7"/>
  <c r="R18" i="7"/>
  <c r="N19" i="7"/>
  <c r="R19" i="7"/>
  <c r="N20" i="7"/>
  <c r="R20" i="7"/>
  <c r="N21" i="7"/>
  <c r="R21" i="7"/>
  <c r="N22" i="7"/>
  <c r="R22" i="7"/>
  <c r="N23" i="7"/>
  <c r="R23" i="7"/>
  <c r="N24" i="7"/>
  <c r="R24" i="7"/>
  <c r="N25" i="7"/>
  <c r="R25" i="7"/>
  <c r="N26" i="7"/>
  <c r="R26" i="7"/>
  <c r="N27" i="7"/>
  <c r="R27" i="7"/>
  <c r="N28" i="7"/>
  <c r="R28" i="7"/>
  <c r="N29" i="7"/>
  <c r="R29" i="7"/>
  <c r="N30" i="7"/>
  <c r="R30" i="7"/>
  <c r="N31" i="7"/>
  <c r="R31" i="7"/>
  <c r="N32" i="7"/>
  <c r="R32" i="7"/>
  <c r="N33" i="7"/>
  <c r="R33" i="7"/>
  <c r="N34" i="7"/>
  <c r="R34" i="7"/>
  <c r="N35" i="7"/>
  <c r="R35" i="7"/>
  <c r="N36" i="7"/>
  <c r="R36" i="7"/>
  <c r="N37" i="7"/>
  <c r="R37" i="7"/>
  <c r="N38" i="7"/>
  <c r="R38" i="7"/>
  <c r="N39" i="7"/>
  <c r="R39" i="7"/>
  <c r="N40" i="7"/>
  <c r="R40" i="7"/>
  <c r="N41" i="7"/>
  <c r="R41" i="7"/>
  <c r="N42" i="7"/>
  <c r="R42" i="7"/>
  <c r="N43" i="7"/>
  <c r="R43" i="7"/>
  <c r="N44" i="7"/>
  <c r="R44" i="7"/>
  <c r="N45" i="7"/>
  <c r="R45" i="7"/>
  <c r="N46" i="7"/>
  <c r="R46" i="7"/>
  <c r="N47" i="7"/>
  <c r="R47" i="7"/>
  <c r="N48" i="7"/>
  <c r="R48" i="7"/>
  <c r="N49" i="7"/>
  <c r="R49" i="7"/>
  <c r="N50" i="7"/>
  <c r="R50" i="7"/>
  <c r="N51" i="7"/>
  <c r="R51" i="7"/>
  <c r="N52" i="7"/>
  <c r="R52" i="7"/>
  <c r="N53" i="7"/>
  <c r="R53" i="7"/>
  <c r="N54" i="7"/>
  <c r="R54" i="7"/>
  <c r="N55" i="7"/>
  <c r="R55" i="7"/>
  <c r="N56" i="7"/>
  <c r="R56" i="7"/>
  <c r="N57" i="7"/>
  <c r="R57" i="7"/>
  <c r="N58" i="7"/>
  <c r="R58" i="7"/>
  <c r="N59" i="7"/>
  <c r="R59" i="7"/>
  <c r="N60" i="7"/>
  <c r="R60" i="7"/>
  <c r="N61" i="7"/>
  <c r="R61" i="7"/>
  <c r="N62" i="7"/>
  <c r="R62" i="7"/>
  <c r="N63" i="7"/>
  <c r="R63" i="7"/>
  <c r="N64" i="7"/>
  <c r="R64" i="7"/>
  <c r="N65" i="7"/>
  <c r="R65" i="7"/>
  <c r="N66" i="7"/>
  <c r="R66" i="7"/>
  <c r="N67" i="7"/>
  <c r="R67" i="7"/>
  <c r="N68" i="7"/>
  <c r="R68" i="7"/>
  <c r="N69" i="7"/>
  <c r="R69" i="7"/>
  <c r="N70" i="7"/>
  <c r="R70" i="7"/>
  <c r="N71" i="7"/>
  <c r="R71" i="7"/>
  <c r="N72" i="7"/>
  <c r="R72" i="7"/>
  <c r="N73" i="7"/>
  <c r="R73" i="7"/>
  <c r="N74" i="7"/>
  <c r="R74" i="7"/>
  <c r="N75" i="7"/>
  <c r="R75" i="7"/>
  <c r="N76" i="7"/>
  <c r="R76" i="7"/>
  <c r="N77" i="7"/>
  <c r="R77" i="7"/>
  <c r="N78" i="7"/>
  <c r="R78" i="7"/>
  <c r="N79" i="7"/>
  <c r="R79" i="7"/>
  <c r="N80" i="7"/>
  <c r="R80" i="7"/>
  <c r="N81" i="7"/>
  <c r="R81" i="7"/>
  <c r="N82" i="7"/>
  <c r="R82" i="7"/>
  <c r="N83" i="7"/>
  <c r="R83" i="7"/>
  <c r="N84" i="7"/>
  <c r="R84" i="7"/>
  <c r="N85" i="7"/>
  <c r="R85" i="7"/>
  <c r="N86" i="7"/>
  <c r="R86" i="7"/>
  <c r="N87" i="7"/>
  <c r="R87" i="7"/>
  <c r="N88" i="7"/>
  <c r="R88" i="7"/>
  <c r="N89" i="7"/>
  <c r="R89" i="7"/>
  <c r="N90" i="7"/>
  <c r="R90" i="7"/>
  <c r="N91" i="7"/>
  <c r="R91" i="7"/>
  <c r="N92" i="7"/>
  <c r="R92" i="7"/>
  <c r="N93" i="7"/>
  <c r="R93" i="7"/>
  <c r="N94" i="7"/>
  <c r="R94" i="7"/>
  <c r="N95" i="7"/>
  <c r="R95" i="7"/>
  <c r="N96" i="7"/>
  <c r="R96" i="7"/>
  <c r="N97" i="7"/>
  <c r="R97" i="7"/>
  <c r="N98" i="7"/>
  <c r="R98" i="7"/>
  <c r="N99" i="7"/>
  <c r="R99" i="7"/>
  <c r="N100" i="7"/>
  <c r="R100" i="7"/>
  <c r="N101" i="7"/>
  <c r="R101" i="7"/>
  <c r="N102" i="7"/>
  <c r="R102" i="7"/>
  <c r="N103" i="7"/>
  <c r="R103" i="7"/>
  <c r="N104" i="7"/>
  <c r="R104" i="7"/>
  <c r="N105" i="7"/>
  <c r="R105" i="7"/>
  <c r="N106" i="7"/>
  <c r="R106" i="7"/>
  <c r="N107" i="7"/>
  <c r="R107" i="7"/>
  <c r="N108" i="7"/>
  <c r="R108" i="7"/>
  <c r="N109" i="7"/>
  <c r="R109" i="7"/>
  <c r="N110" i="7"/>
  <c r="R110" i="7"/>
  <c r="N111" i="7"/>
  <c r="R111" i="7"/>
  <c r="N112" i="7"/>
  <c r="R112" i="7"/>
  <c r="N113" i="7"/>
  <c r="R113" i="7"/>
  <c r="N114" i="7"/>
  <c r="R114" i="7"/>
  <c r="N115" i="7"/>
  <c r="R115" i="7"/>
  <c r="N116" i="7"/>
  <c r="R116" i="7"/>
  <c r="N117" i="7"/>
  <c r="R117" i="7"/>
  <c r="N118" i="7"/>
  <c r="R118" i="7"/>
  <c r="N119" i="7"/>
  <c r="R119" i="7"/>
  <c r="N120" i="7"/>
  <c r="R120" i="7"/>
  <c r="N121" i="7"/>
  <c r="R121" i="7"/>
  <c r="N122" i="7"/>
  <c r="R122" i="7"/>
  <c r="N123" i="7"/>
  <c r="R123" i="7"/>
  <c r="N124" i="7"/>
  <c r="R124" i="7"/>
  <c r="N125" i="7"/>
  <c r="R125" i="7"/>
  <c r="N126" i="7"/>
  <c r="R126" i="7"/>
  <c r="N127" i="7"/>
  <c r="R127" i="7"/>
  <c r="N128" i="7"/>
  <c r="R128" i="7"/>
  <c r="N129" i="7"/>
  <c r="R129" i="7"/>
  <c r="N130" i="7"/>
  <c r="R130" i="7"/>
  <c r="N131" i="7"/>
  <c r="R131" i="7"/>
  <c r="N132" i="7"/>
  <c r="R132" i="7"/>
  <c r="N133" i="7"/>
  <c r="R133" i="7"/>
  <c r="N134" i="7"/>
  <c r="R134" i="7"/>
  <c r="N135" i="7"/>
  <c r="R135" i="7"/>
  <c r="N136" i="7"/>
  <c r="R136" i="7"/>
  <c r="N137" i="7"/>
  <c r="R137" i="7"/>
  <c r="N138" i="7"/>
  <c r="R138" i="7"/>
  <c r="N139" i="7"/>
  <c r="R139" i="7"/>
  <c r="N140" i="7"/>
  <c r="R140" i="7"/>
  <c r="N141" i="7"/>
  <c r="R141" i="7"/>
  <c r="N142" i="7"/>
  <c r="R142" i="7"/>
  <c r="N143" i="7"/>
  <c r="R143" i="7"/>
  <c r="N144" i="7"/>
  <c r="R144" i="7"/>
  <c r="N145" i="7"/>
  <c r="R145" i="7"/>
  <c r="N146" i="7"/>
  <c r="R146" i="7"/>
  <c r="N147" i="7"/>
  <c r="R147" i="7"/>
  <c r="N148" i="7"/>
  <c r="R148" i="7"/>
  <c r="N149" i="7"/>
  <c r="R149" i="7"/>
  <c r="N150" i="7"/>
  <c r="R150" i="7"/>
  <c r="N151" i="7"/>
  <c r="R151" i="7"/>
  <c r="N152" i="7"/>
  <c r="R152" i="7"/>
  <c r="N153" i="7"/>
  <c r="R153" i="7"/>
  <c r="N154" i="7"/>
  <c r="R154" i="7"/>
  <c r="N155" i="7"/>
  <c r="R155" i="7"/>
  <c r="N156" i="7"/>
  <c r="R156" i="7"/>
  <c r="N157" i="7"/>
  <c r="R157" i="7"/>
  <c r="N158" i="7"/>
  <c r="R158" i="7"/>
  <c r="N159" i="7"/>
  <c r="R159" i="7"/>
  <c r="N160" i="7"/>
  <c r="R160" i="7"/>
  <c r="N161" i="7"/>
  <c r="R161" i="7"/>
  <c r="N162" i="7"/>
  <c r="R162" i="7"/>
  <c r="N163" i="7"/>
  <c r="R163" i="7"/>
  <c r="N164" i="7"/>
  <c r="R164" i="7"/>
  <c r="N165" i="7"/>
  <c r="R165" i="7"/>
  <c r="N166" i="7"/>
  <c r="R166" i="7"/>
  <c r="N167" i="7"/>
  <c r="R167" i="7"/>
  <c r="N168" i="7"/>
  <c r="R168" i="7"/>
  <c r="N169" i="7"/>
  <c r="R169" i="7"/>
  <c r="N170" i="7"/>
  <c r="R170" i="7"/>
  <c r="N171" i="7"/>
  <c r="R171" i="7"/>
  <c r="N172" i="7"/>
  <c r="R172" i="7"/>
  <c r="N173" i="7"/>
  <c r="R173" i="7"/>
  <c r="N174" i="7"/>
  <c r="R174" i="7"/>
  <c r="N175" i="7"/>
  <c r="R175" i="7"/>
  <c r="N176" i="7"/>
  <c r="R176" i="7"/>
  <c r="N177" i="7"/>
  <c r="R177" i="7"/>
  <c r="N178" i="7"/>
  <c r="R178" i="7"/>
  <c r="N179" i="7"/>
  <c r="R179" i="7"/>
  <c r="N180" i="7"/>
  <c r="R180" i="7"/>
  <c r="N181" i="7"/>
  <c r="R181" i="7"/>
  <c r="N182" i="7"/>
  <c r="R182" i="7"/>
  <c r="N183" i="7"/>
  <c r="R183" i="7"/>
  <c r="N184" i="7"/>
  <c r="R184" i="7"/>
  <c r="N185" i="7"/>
  <c r="R185" i="7"/>
  <c r="N186" i="7"/>
  <c r="R186" i="7"/>
  <c r="N187" i="7"/>
  <c r="R187" i="7"/>
  <c r="N188" i="7"/>
  <c r="R188" i="7"/>
  <c r="N189" i="7"/>
  <c r="R189" i="7"/>
  <c r="N190" i="7"/>
  <c r="R190" i="7"/>
  <c r="N191" i="7"/>
  <c r="R191" i="7"/>
  <c r="N192" i="7"/>
  <c r="R192" i="7"/>
  <c r="N193" i="7"/>
  <c r="R193" i="7"/>
  <c r="N194" i="7"/>
  <c r="R194" i="7"/>
  <c r="N195" i="7"/>
  <c r="R195" i="7"/>
  <c r="N196" i="7"/>
  <c r="R196" i="7"/>
  <c r="N197" i="7"/>
  <c r="R197" i="7"/>
  <c r="N198" i="7"/>
  <c r="R198" i="7"/>
  <c r="N199" i="7"/>
  <c r="R199" i="7"/>
  <c r="N200" i="7"/>
  <c r="R200" i="7"/>
  <c r="N201" i="7"/>
  <c r="R201" i="7"/>
  <c r="N202" i="7"/>
  <c r="R202" i="7"/>
  <c r="N203" i="7"/>
  <c r="R203" i="7"/>
  <c r="N204" i="7"/>
  <c r="R204" i="7"/>
  <c r="N205" i="7"/>
  <c r="R205" i="7"/>
  <c r="N206" i="7"/>
  <c r="R206" i="7"/>
  <c r="N207" i="7"/>
  <c r="R207" i="7"/>
  <c r="N208" i="7"/>
  <c r="R208" i="7"/>
  <c r="N209" i="7"/>
  <c r="R209" i="7"/>
  <c r="N210" i="7"/>
  <c r="R210" i="7"/>
  <c r="N211" i="7"/>
  <c r="R211" i="7"/>
  <c r="N212" i="7"/>
  <c r="R212" i="7"/>
  <c r="N213" i="7"/>
  <c r="R213" i="7"/>
  <c r="N214" i="7"/>
  <c r="R214" i="7"/>
  <c r="N215" i="7"/>
  <c r="R215" i="7"/>
  <c r="N216" i="7"/>
  <c r="R216" i="7"/>
  <c r="N217" i="7"/>
  <c r="R217" i="7"/>
  <c r="N218" i="7"/>
  <c r="R218" i="7"/>
  <c r="N219" i="7"/>
  <c r="R219" i="7"/>
  <c r="N220" i="7"/>
  <c r="R220" i="7"/>
  <c r="N221" i="7"/>
  <c r="R221" i="7"/>
  <c r="N222" i="7"/>
  <c r="R222" i="7"/>
  <c r="N223" i="7"/>
  <c r="R223" i="7"/>
  <c r="N224" i="7"/>
  <c r="R224" i="7"/>
  <c r="N225" i="7"/>
  <c r="R225" i="7"/>
  <c r="N226" i="7"/>
  <c r="R226" i="7"/>
  <c r="N227" i="7"/>
  <c r="R227" i="7"/>
  <c r="N228" i="7"/>
  <c r="R228" i="7"/>
  <c r="N229" i="7"/>
  <c r="R229" i="7"/>
  <c r="N230" i="7"/>
  <c r="R230" i="7"/>
  <c r="N231" i="7"/>
  <c r="R231" i="7"/>
  <c r="N232" i="7"/>
  <c r="R232" i="7"/>
  <c r="N233" i="7"/>
  <c r="R233" i="7"/>
  <c r="N234" i="7"/>
  <c r="R234" i="7"/>
  <c r="N235" i="7"/>
  <c r="R235" i="7"/>
  <c r="N236" i="7"/>
  <c r="R236" i="7"/>
  <c r="N237" i="7"/>
  <c r="R237" i="7"/>
  <c r="N238" i="7"/>
  <c r="R238" i="7"/>
  <c r="N239" i="7"/>
  <c r="R239" i="7"/>
  <c r="N240" i="7"/>
  <c r="R240" i="7"/>
  <c r="N241" i="7"/>
  <c r="R241" i="7"/>
  <c r="N242" i="7"/>
  <c r="R242" i="7"/>
  <c r="N243" i="7"/>
  <c r="R243" i="7"/>
  <c r="N244" i="7"/>
  <c r="R244" i="7"/>
  <c r="N245" i="7"/>
  <c r="R245" i="7"/>
  <c r="N246" i="7"/>
  <c r="R246" i="7"/>
  <c r="N247" i="7"/>
  <c r="R247" i="7"/>
  <c r="N248" i="7"/>
  <c r="R248" i="7"/>
  <c r="N249" i="7"/>
  <c r="R249" i="7"/>
  <c r="N250" i="7"/>
  <c r="R250" i="7"/>
  <c r="N251" i="7"/>
  <c r="R251" i="7"/>
  <c r="N252" i="7"/>
  <c r="R252" i="7"/>
  <c r="N253" i="7"/>
  <c r="R253" i="7"/>
  <c r="N254" i="7"/>
  <c r="R254" i="7"/>
  <c r="N255" i="7"/>
  <c r="R255" i="7"/>
  <c r="N256" i="7"/>
  <c r="R256" i="7"/>
  <c r="N257" i="7"/>
  <c r="R257" i="7"/>
  <c r="N258" i="7"/>
  <c r="R258" i="7"/>
  <c r="N259" i="7"/>
  <c r="R259" i="7"/>
  <c r="N260" i="7"/>
  <c r="R260" i="7"/>
  <c r="N261" i="7"/>
  <c r="R261" i="7"/>
  <c r="N262" i="7"/>
  <c r="R262" i="7"/>
  <c r="N263" i="7"/>
  <c r="R263" i="7"/>
  <c r="N264" i="7"/>
  <c r="R264" i="7"/>
  <c r="N265" i="7"/>
  <c r="R265" i="7"/>
  <c r="N266" i="7"/>
  <c r="R266" i="7"/>
  <c r="N267" i="7"/>
  <c r="R267" i="7"/>
  <c r="N268" i="7"/>
  <c r="R268" i="7"/>
  <c r="N269" i="7"/>
  <c r="R269" i="7"/>
  <c r="N270" i="7"/>
  <c r="R270" i="7"/>
  <c r="N271" i="7"/>
  <c r="R271" i="7"/>
  <c r="N272" i="7"/>
  <c r="R272" i="7"/>
  <c r="N273" i="7"/>
  <c r="R273" i="7"/>
  <c r="N274" i="7"/>
  <c r="R274" i="7"/>
  <c r="N275" i="7"/>
  <c r="R275" i="7"/>
  <c r="N276" i="7"/>
  <c r="R276" i="7"/>
  <c r="N277" i="7"/>
  <c r="R277" i="7"/>
  <c r="N278" i="7"/>
  <c r="R278" i="7"/>
  <c r="N279" i="7"/>
  <c r="R279" i="7"/>
  <c r="N280" i="7"/>
  <c r="R280" i="7"/>
  <c r="N281" i="7"/>
  <c r="R281" i="7"/>
  <c r="N282" i="7"/>
  <c r="R282" i="7"/>
  <c r="N283" i="7"/>
  <c r="R283" i="7"/>
  <c r="N284" i="7"/>
  <c r="R284" i="7"/>
  <c r="N285" i="7"/>
  <c r="R285" i="7"/>
  <c r="N286" i="7"/>
  <c r="R286" i="7"/>
  <c r="N287" i="7"/>
  <c r="R287" i="7"/>
  <c r="N288" i="7"/>
  <c r="R288" i="7"/>
  <c r="N289" i="7"/>
  <c r="R289" i="7"/>
  <c r="N290" i="7"/>
  <c r="R290" i="7"/>
  <c r="N291" i="7"/>
  <c r="R291" i="7"/>
  <c r="N292" i="7"/>
  <c r="R292" i="7"/>
  <c r="N293" i="7"/>
  <c r="R293" i="7"/>
  <c r="N294" i="7"/>
  <c r="R294" i="7"/>
  <c r="N295" i="7"/>
  <c r="R295" i="7"/>
  <c r="N296" i="7"/>
  <c r="R296" i="7"/>
  <c r="N297" i="7"/>
  <c r="R297" i="7"/>
  <c r="N298" i="7"/>
  <c r="R298" i="7"/>
  <c r="N299" i="7"/>
  <c r="R299" i="7"/>
  <c r="N300" i="7"/>
  <c r="R300" i="7"/>
  <c r="N301" i="7"/>
  <c r="R301" i="7"/>
  <c r="N302" i="7"/>
  <c r="R302" i="7"/>
  <c r="N303" i="7"/>
  <c r="R303" i="7"/>
  <c r="N304" i="7"/>
  <c r="R304" i="7"/>
  <c r="N305" i="7"/>
  <c r="R305" i="7"/>
  <c r="N306" i="7"/>
  <c r="R306" i="7"/>
  <c r="N307" i="7"/>
  <c r="R307" i="7"/>
  <c r="N308" i="7"/>
  <c r="R308" i="7"/>
  <c r="N309" i="7"/>
  <c r="R309" i="7"/>
  <c r="N310" i="7"/>
  <c r="R310" i="7"/>
  <c r="N311" i="7"/>
  <c r="R311" i="7"/>
  <c r="N312" i="7"/>
  <c r="R312" i="7"/>
  <c r="N313" i="7"/>
  <c r="R313" i="7"/>
  <c r="N314" i="7"/>
  <c r="R314" i="7"/>
  <c r="N315" i="7"/>
  <c r="R315" i="7"/>
  <c r="N316" i="7"/>
  <c r="R316" i="7"/>
  <c r="N317" i="7"/>
  <c r="R317" i="7"/>
  <c r="N318" i="7"/>
  <c r="R318" i="7"/>
  <c r="N319" i="7"/>
  <c r="R319" i="7"/>
  <c r="N320" i="7"/>
  <c r="R320" i="7"/>
  <c r="N321" i="7"/>
  <c r="R321" i="7"/>
  <c r="N322" i="7"/>
  <c r="R322" i="7"/>
  <c r="N323" i="7"/>
  <c r="R323" i="7"/>
  <c r="N324" i="7"/>
  <c r="R324" i="7"/>
  <c r="N325" i="7"/>
  <c r="R325" i="7"/>
  <c r="N326" i="7"/>
  <c r="R326" i="7"/>
  <c r="N327" i="7"/>
  <c r="R327" i="7"/>
  <c r="N328" i="7"/>
  <c r="R328" i="7"/>
  <c r="N329" i="7"/>
  <c r="R329" i="7"/>
  <c r="N330" i="7"/>
  <c r="R330" i="7"/>
  <c r="N331" i="7"/>
  <c r="R331" i="7"/>
  <c r="N332" i="7"/>
  <c r="R332" i="7"/>
  <c r="N333" i="7"/>
  <c r="R333" i="7"/>
  <c r="N334" i="7"/>
  <c r="R334" i="7"/>
  <c r="N335" i="7"/>
  <c r="R335" i="7"/>
  <c r="N336" i="7"/>
  <c r="R336" i="7"/>
  <c r="N337" i="7"/>
  <c r="R337" i="7"/>
  <c r="N338" i="7"/>
  <c r="R338" i="7"/>
  <c r="N339" i="7"/>
  <c r="R339" i="7"/>
  <c r="N340" i="7"/>
  <c r="R340" i="7"/>
  <c r="N341" i="7"/>
  <c r="R341" i="7"/>
  <c r="N342" i="7"/>
  <c r="R342" i="7"/>
  <c r="N343" i="7"/>
  <c r="R343" i="7"/>
  <c r="N344" i="7"/>
  <c r="R344" i="7"/>
  <c r="N345" i="7"/>
  <c r="R345" i="7"/>
  <c r="N346" i="7"/>
  <c r="R346" i="7"/>
  <c r="N347" i="7"/>
  <c r="R347" i="7"/>
  <c r="N2" i="7"/>
  <c r="L209" i="7" l="1"/>
  <c r="L167" i="7"/>
  <c r="L161" i="7"/>
  <c r="L149" i="7"/>
  <c r="L143" i="7"/>
  <c r="L137" i="7"/>
  <c r="L125" i="7"/>
  <c r="L113" i="7"/>
  <c r="L71" i="7"/>
  <c r="L305" i="7"/>
  <c r="L335" i="7"/>
  <c r="L293" i="7"/>
  <c r="L105" i="7"/>
  <c r="L321" i="7"/>
  <c r="L249" i="7"/>
  <c r="L306" i="7"/>
  <c r="L268" i="7"/>
  <c r="L232" i="7"/>
  <c r="L208" i="7"/>
  <c r="L178" i="7"/>
  <c r="L172" i="7"/>
  <c r="L166" i="7"/>
  <c r="L160" i="7"/>
  <c r="L148" i="7"/>
  <c r="L136" i="7"/>
  <c r="L112" i="7"/>
  <c r="L106" i="7"/>
  <c r="L316" i="7"/>
  <c r="L298" i="7"/>
  <c r="L247" i="7"/>
  <c r="L199" i="7"/>
  <c r="L169" i="7"/>
  <c r="L163" i="7"/>
  <c r="L157" i="7"/>
  <c r="L145" i="7"/>
  <c r="L139" i="7"/>
  <c r="L133" i="7"/>
  <c r="M2" i="7"/>
  <c r="L2" i="7" s="1"/>
  <c r="L252" i="7"/>
  <c r="L127" i="7"/>
  <c r="L73" i="7"/>
  <c r="L210" i="7"/>
  <c r="L192" i="7"/>
  <c r="L174" i="7"/>
  <c r="L168" i="7"/>
  <c r="L162" i="7"/>
  <c r="L144" i="7"/>
  <c r="L138" i="7"/>
  <c r="L132" i="7"/>
  <c r="L126" i="7"/>
  <c r="L108" i="7"/>
  <c r="L30" i="7"/>
  <c r="L344" i="7"/>
  <c r="L212" i="7"/>
  <c r="L200" i="7"/>
  <c r="L176" i="7"/>
  <c r="L170" i="7"/>
  <c r="L164" i="7"/>
  <c r="L158" i="7"/>
  <c r="L146" i="7"/>
  <c r="L140" i="7"/>
  <c r="L56" i="7"/>
  <c r="L338" i="7"/>
  <c r="L296" i="7"/>
  <c r="L230" i="7"/>
  <c r="L58" i="7"/>
  <c r="L339" i="7"/>
  <c r="L63" i="7"/>
  <c r="L267" i="7"/>
  <c r="L171" i="7"/>
  <c r="L135" i="7"/>
  <c r="L49" i="7"/>
  <c r="L48" i="7"/>
  <c r="M238" i="7"/>
  <c r="L238" i="7" s="1"/>
  <c r="M202" i="7"/>
  <c r="L202" i="7" s="1"/>
  <c r="M190" i="7"/>
  <c r="L190" i="7" s="1"/>
  <c r="M178" i="7"/>
  <c r="M166" i="7"/>
  <c r="M154" i="7"/>
  <c r="L154" i="7" s="1"/>
  <c r="M142" i="7"/>
  <c r="M226" i="7"/>
  <c r="L226" i="7" s="1"/>
  <c r="L142" i="7"/>
  <c r="M214" i="7"/>
  <c r="L214" i="7" s="1"/>
  <c r="M286" i="7"/>
  <c r="L286" i="7" s="1"/>
  <c r="M130" i="7"/>
  <c r="L130" i="7" s="1"/>
  <c r="M118" i="7"/>
  <c r="L118" i="7" s="1"/>
  <c r="M106" i="7"/>
  <c r="M346" i="7"/>
  <c r="L346" i="7" s="1"/>
  <c r="M322" i="7"/>
  <c r="L322" i="7" s="1"/>
  <c r="M298" i="7"/>
  <c r="M250" i="7"/>
  <c r="L250" i="7" s="1"/>
  <c r="M262" i="7"/>
  <c r="L262" i="7" s="1"/>
  <c r="M310" i="7"/>
  <c r="L310" i="7" s="1"/>
  <c r="M274" i="7"/>
  <c r="L274" i="7" s="1"/>
  <c r="M77" i="7"/>
  <c r="L77" i="7" s="1"/>
  <c r="M65" i="7"/>
  <c r="L65" i="7" s="1"/>
  <c r="M53" i="7"/>
  <c r="L53" i="7" s="1"/>
  <c r="M41" i="7"/>
  <c r="L41" i="7" s="1"/>
  <c r="M29" i="7"/>
  <c r="L29" i="7" s="1"/>
  <c r="M17" i="7"/>
  <c r="L17" i="7" s="1"/>
  <c r="M304" i="7"/>
  <c r="L304" i="7" s="1"/>
  <c r="M280" i="7"/>
  <c r="L280" i="7" s="1"/>
  <c r="M94" i="7"/>
  <c r="L94" i="7" s="1"/>
  <c r="M292" i="7"/>
  <c r="L292" i="7" s="1"/>
  <c r="M5" i="7"/>
  <c r="L5" i="7" s="1"/>
  <c r="M82" i="7"/>
  <c r="L82" i="7" s="1"/>
  <c r="M70" i="7"/>
  <c r="L70" i="7" s="1"/>
  <c r="M339" i="7"/>
  <c r="M58" i="7"/>
  <c r="M197" i="7"/>
  <c r="L197" i="7" s="1"/>
  <c r="M185" i="7"/>
  <c r="L185" i="7" s="1"/>
  <c r="M173" i="7"/>
  <c r="L173" i="7" s="1"/>
  <c r="M161" i="7"/>
  <c r="M149" i="7"/>
  <c r="M137" i="7"/>
  <c r="M125" i="7"/>
  <c r="M113" i="7"/>
  <c r="M101" i="7"/>
  <c r="L101" i="7" s="1"/>
  <c r="M89" i="7"/>
  <c r="L89" i="7" s="1"/>
  <c r="M268" i="7"/>
  <c r="M256" i="7"/>
  <c r="L256" i="7" s="1"/>
  <c r="M244" i="7"/>
  <c r="L244" i="7" s="1"/>
  <c r="M232" i="7"/>
  <c r="M220" i="7"/>
  <c r="L220" i="7" s="1"/>
  <c r="M208" i="7"/>
  <c r="M196" i="7"/>
  <c r="L196" i="7" s="1"/>
  <c r="M184" i="7"/>
  <c r="L184" i="7" s="1"/>
  <c r="M172" i="7"/>
  <c r="M160" i="7"/>
  <c r="M148" i="7"/>
  <c r="M136" i="7"/>
  <c r="M46" i="7"/>
  <c r="L46" i="7" s="1"/>
  <c r="M34" i="7"/>
  <c r="L34" i="7" s="1"/>
  <c r="M22" i="7"/>
  <c r="L22" i="7" s="1"/>
  <c r="M10" i="7"/>
  <c r="L10" i="7" s="1"/>
  <c r="M334" i="7"/>
  <c r="L334" i="7" s="1"/>
  <c r="M257" i="7"/>
  <c r="L257" i="7" s="1"/>
  <c r="M233" i="7"/>
  <c r="L233" i="7" s="1"/>
  <c r="M209" i="7"/>
  <c r="M293" i="7"/>
  <c r="M221" i="7"/>
  <c r="L221" i="7" s="1"/>
  <c r="M281" i="7"/>
  <c r="L281" i="7" s="1"/>
  <c r="M245" i="7"/>
  <c r="L245" i="7" s="1"/>
  <c r="M316" i="7"/>
  <c r="M124" i="7"/>
  <c r="L124" i="7" s="1"/>
  <c r="M112" i="7"/>
  <c r="M100" i="7"/>
  <c r="L100" i="7" s="1"/>
  <c r="M88" i="7"/>
  <c r="L88" i="7" s="1"/>
  <c r="M76" i="7"/>
  <c r="L76" i="7" s="1"/>
  <c r="M64" i="7"/>
  <c r="L64" i="7" s="1"/>
  <c r="M52" i="7"/>
  <c r="L52" i="7" s="1"/>
  <c r="M40" i="7"/>
  <c r="L40" i="7" s="1"/>
  <c r="M28" i="7"/>
  <c r="L28" i="7" s="1"/>
  <c r="M16" i="7"/>
  <c r="L16" i="7" s="1"/>
  <c r="M4" i="7"/>
  <c r="L4" i="7" s="1"/>
  <c r="M269" i="7"/>
  <c r="L269" i="7" s="1"/>
  <c r="M328" i="7"/>
  <c r="L328" i="7" s="1"/>
  <c r="M341" i="7"/>
  <c r="L341" i="7" s="1"/>
  <c r="M336" i="7"/>
  <c r="L336" i="7" s="1"/>
  <c r="M324" i="7"/>
  <c r="L324" i="7" s="1"/>
  <c r="M312" i="7"/>
  <c r="L312" i="7" s="1"/>
  <c r="M300" i="7"/>
  <c r="L300" i="7" s="1"/>
  <c r="M288" i="7"/>
  <c r="L288" i="7" s="1"/>
  <c r="M276" i="7"/>
  <c r="L276" i="7" s="1"/>
  <c r="M264" i="7"/>
  <c r="L264" i="7" s="1"/>
  <c r="M252" i="7"/>
  <c r="M240" i="7"/>
  <c r="L240" i="7" s="1"/>
  <c r="M228" i="7"/>
  <c r="L228" i="7" s="1"/>
  <c r="M216" i="7"/>
  <c r="L216" i="7" s="1"/>
  <c r="M204" i="7"/>
  <c r="L204" i="7" s="1"/>
  <c r="M192" i="7"/>
  <c r="M180" i="7"/>
  <c r="L180" i="7" s="1"/>
  <c r="M168" i="7"/>
  <c r="M156" i="7"/>
  <c r="L156" i="7" s="1"/>
  <c r="M144" i="7"/>
  <c r="M132" i="7"/>
  <c r="M120" i="7"/>
  <c r="L120" i="7" s="1"/>
  <c r="M108" i="7"/>
  <c r="M96" i="7"/>
  <c r="L96" i="7" s="1"/>
  <c r="M84" i="7"/>
  <c r="L84" i="7" s="1"/>
  <c r="M72" i="7"/>
  <c r="L72" i="7" s="1"/>
  <c r="M60" i="7"/>
  <c r="L60" i="7" s="1"/>
  <c r="M48" i="7"/>
  <c r="M36" i="7"/>
  <c r="L36" i="7" s="1"/>
  <c r="M24" i="7"/>
  <c r="L24" i="7" s="1"/>
  <c r="M12" i="7"/>
  <c r="L12" i="7" s="1"/>
  <c r="M343" i="7"/>
  <c r="L343" i="7" s="1"/>
  <c r="M331" i="7"/>
  <c r="L331" i="7" s="1"/>
  <c r="M319" i="7"/>
  <c r="L319" i="7" s="1"/>
  <c r="M307" i="7"/>
  <c r="L307" i="7" s="1"/>
  <c r="M295" i="7"/>
  <c r="L295" i="7" s="1"/>
  <c r="M283" i="7"/>
  <c r="L283" i="7" s="1"/>
  <c r="M271" i="7"/>
  <c r="L271" i="7" s="1"/>
  <c r="M259" i="7"/>
  <c r="L259" i="7" s="1"/>
  <c r="M247" i="7"/>
  <c r="M235" i="7"/>
  <c r="L235" i="7" s="1"/>
  <c r="M223" i="7"/>
  <c r="L223" i="7" s="1"/>
  <c r="M211" i="7"/>
  <c r="L211" i="7" s="1"/>
  <c r="M199" i="7"/>
  <c r="M187" i="7"/>
  <c r="L187" i="7" s="1"/>
  <c r="M175" i="7"/>
  <c r="L175" i="7" s="1"/>
  <c r="M163" i="7"/>
  <c r="M151" i="7"/>
  <c r="L151" i="7" s="1"/>
  <c r="M139" i="7"/>
  <c r="M127" i="7"/>
  <c r="M115" i="7"/>
  <c r="L115" i="7" s="1"/>
  <c r="M103" i="7"/>
  <c r="L103" i="7" s="1"/>
  <c r="M91" i="7"/>
  <c r="L91" i="7" s="1"/>
  <c r="M79" i="7"/>
  <c r="L79" i="7" s="1"/>
  <c r="M67" i="7"/>
  <c r="L67" i="7" s="1"/>
  <c r="M55" i="7"/>
  <c r="L55" i="7" s="1"/>
  <c r="M43" i="7"/>
  <c r="L43" i="7" s="1"/>
  <c r="M31" i="7"/>
  <c r="L31" i="7" s="1"/>
  <c r="M19" i="7"/>
  <c r="L19" i="7" s="1"/>
  <c r="M7" i="7"/>
  <c r="L7" i="7" s="1"/>
  <c r="M338" i="7"/>
  <c r="M326" i="7"/>
  <c r="L326" i="7" s="1"/>
  <c r="M314" i="7"/>
  <c r="L314" i="7" s="1"/>
  <c r="M302" i="7"/>
  <c r="L302" i="7" s="1"/>
  <c r="M290" i="7"/>
  <c r="L290" i="7" s="1"/>
  <c r="M278" i="7"/>
  <c r="L278" i="7" s="1"/>
  <c r="M266" i="7"/>
  <c r="L266" i="7" s="1"/>
  <c r="M254" i="7"/>
  <c r="L254" i="7" s="1"/>
  <c r="M242" i="7"/>
  <c r="L242" i="7" s="1"/>
  <c r="M230" i="7"/>
  <c r="M218" i="7"/>
  <c r="L218" i="7" s="1"/>
  <c r="M206" i="7"/>
  <c r="L206" i="7" s="1"/>
  <c r="M194" i="7"/>
  <c r="L194" i="7" s="1"/>
  <c r="M182" i="7"/>
  <c r="L182" i="7" s="1"/>
  <c r="M170" i="7"/>
  <c r="M158" i="7"/>
  <c r="M146" i="7"/>
  <c r="M134" i="7"/>
  <c r="L134" i="7" s="1"/>
  <c r="M122" i="7"/>
  <c r="L122" i="7" s="1"/>
  <c r="M110" i="7"/>
  <c r="L110" i="7" s="1"/>
  <c r="M98" i="7"/>
  <c r="L98" i="7" s="1"/>
  <c r="M86" i="7"/>
  <c r="L86" i="7" s="1"/>
  <c r="M74" i="7"/>
  <c r="L74" i="7" s="1"/>
  <c r="M62" i="7"/>
  <c r="L62" i="7" s="1"/>
  <c r="M50" i="7"/>
  <c r="L50" i="7" s="1"/>
  <c r="M38" i="7"/>
  <c r="L38" i="7" s="1"/>
  <c r="M26" i="7"/>
  <c r="L26" i="7" s="1"/>
  <c r="M14" i="7"/>
  <c r="L14" i="7" s="1"/>
  <c r="M333" i="7"/>
  <c r="L333" i="7" s="1"/>
  <c r="M321" i="7"/>
  <c r="M309" i="7"/>
  <c r="L309" i="7" s="1"/>
  <c r="M297" i="7"/>
  <c r="L297" i="7" s="1"/>
  <c r="M285" i="7"/>
  <c r="L285" i="7" s="1"/>
  <c r="M273" i="7"/>
  <c r="L273" i="7" s="1"/>
  <c r="M261" i="7"/>
  <c r="L261" i="7" s="1"/>
  <c r="M249" i="7"/>
  <c r="M237" i="7"/>
  <c r="L237" i="7" s="1"/>
  <c r="M225" i="7"/>
  <c r="L225" i="7" s="1"/>
  <c r="M213" i="7"/>
  <c r="L213" i="7" s="1"/>
  <c r="M201" i="7"/>
  <c r="L201" i="7" s="1"/>
  <c r="M189" i="7"/>
  <c r="L189" i="7" s="1"/>
  <c r="M177" i="7"/>
  <c r="L177" i="7" s="1"/>
  <c r="M165" i="7"/>
  <c r="L165" i="7" s="1"/>
  <c r="M153" i="7"/>
  <c r="L153" i="7" s="1"/>
  <c r="M141" i="7"/>
  <c r="L141" i="7" s="1"/>
  <c r="M129" i="7"/>
  <c r="L129" i="7" s="1"/>
  <c r="M117" i="7"/>
  <c r="L117" i="7" s="1"/>
  <c r="M105" i="7"/>
  <c r="M93" i="7"/>
  <c r="L93" i="7" s="1"/>
  <c r="M81" i="7"/>
  <c r="L81" i="7" s="1"/>
  <c r="M69" i="7"/>
  <c r="L69" i="7" s="1"/>
  <c r="M57" i="7"/>
  <c r="L57" i="7" s="1"/>
  <c r="M45" i="7"/>
  <c r="L45" i="7" s="1"/>
  <c r="M33" i="7"/>
  <c r="L33" i="7" s="1"/>
  <c r="M21" i="7"/>
  <c r="L21" i="7" s="1"/>
  <c r="M9" i="7"/>
  <c r="L9" i="7" s="1"/>
  <c r="M329" i="7"/>
  <c r="L329" i="7" s="1"/>
  <c r="M345" i="7"/>
  <c r="L345" i="7" s="1"/>
  <c r="M335" i="7"/>
  <c r="M323" i="7"/>
  <c r="L323" i="7" s="1"/>
  <c r="M311" i="7"/>
  <c r="L311" i="7" s="1"/>
  <c r="M299" i="7"/>
  <c r="L299" i="7" s="1"/>
  <c r="M287" i="7"/>
  <c r="L287" i="7" s="1"/>
  <c r="M275" i="7"/>
  <c r="L275" i="7" s="1"/>
  <c r="M263" i="7"/>
  <c r="L263" i="7" s="1"/>
  <c r="M251" i="7"/>
  <c r="L251" i="7" s="1"/>
  <c r="M239" i="7"/>
  <c r="L239" i="7" s="1"/>
  <c r="M227" i="7"/>
  <c r="L227" i="7" s="1"/>
  <c r="M215" i="7"/>
  <c r="L215" i="7" s="1"/>
  <c r="M203" i="7"/>
  <c r="L203" i="7" s="1"/>
  <c r="M191" i="7"/>
  <c r="L191" i="7" s="1"/>
  <c r="M179" i="7"/>
  <c r="L179" i="7" s="1"/>
  <c r="M167" i="7"/>
  <c r="M155" i="7"/>
  <c r="L155" i="7" s="1"/>
  <c r="M143" i="7"/>
  <c r="M131" i="7"/>
  <c r="L131" i="7" s="1"/>
  <c r="M119" i="7"/>
  <c r="L119" i="7" s="1"/>
  <c r="M107" i="7"/>
  <c r="L107" i="7" s="1"/>
  <c r="M95" i="7"/>
  <c r="L95" i="7" s="1"/>
  <c r="M83" i="7"/>
  <c r="L83" i="7" s="1"/>
  <c r="M71" i="7"/>
  <c r="M59" i="7"/>
  <c r="L59" i="7" s="1"/>
  <c r="M47" i="7"/>
  <c r="L47" i="7" s="1"/>
  <c r="M35" i="7"/>
  <c r="L35" i="7" s="1"/>
  <c r="M23" i="7"/>
  <c r="L23" i="7" s="1"/>
  <c r="M11" i="7"/>
  <c r="L11" i="7" s="1"/>
  <c r="M340" i="7"/>
  <c r="L340" i="7" s="1"/>
  <c r="M347" i="7"/>
  <c r="L347" i="7" s="1"/>
  <c r="M342" i="7"/>
  <c r="L342" i="7" s="1"/>
  <c r="M330" i="7"/>
  <c r="L330" i="7" s="1"/>
  <c r="M318" i="7"/>
  <c r="L318" i="7" s="1"/>
  <c r="M306" i="7"/>
  <c r="M294" i="7"/>
  <c r="L294" i="7" s="1"/>
  <c r="M282" i="7"/>
  <c r="L282" i="7" s="1"/>
  <c r="M270" i="7"/>
  <c r="L270" i="7" s="1"/>
  <c r="M258" i="7"/>
  <c r="L258" i="7" s="1"/>
  <c r="M246" i="7"/>
  <c r="L246" i="7" s="1"/>
  <c r="M234" i="7"/>
  <c r="L234" i="7" s="1"/>
  <c r="M222" i="7"/>
  <c r="L222" i="7" s="1"/>
  <c r="M210" i="7"/>
  <c r="M198" i="7"/>
  <c r="L198" i="7" s="1"/>
  <c r="M186" i="7"/>
  <c r="L186" i="7" s="1"/>
  <c r="M174" i="7"/>
  <c r="M162" i="7"/>
  <c r="M150" i="7"/>
  <c r="L150" i="7" s="1"/>
  <c r="M138" i="7"/>
  <c r="M126" i="7"/>
  <c r="M114" i="7"/>
  <c r="L114" i="7" s="1"/>
  <c r="M102" i="7"/>
  <c r="L102" i="7" s="1"/>
  <c r="M90" i="7"/>
  <c r="L90" i="7" s="1"/>
  <c r="M78" i="7"/>
  <c r="L78" i="7" s="1"/>
  <c r="M66" i="7"/>
  <c r="L66" i="7" s="1"/>
  <c r="M54" i="7"/>
  <c r="L54" i="7" s="1"/>
  <c r="M42" i="7"/>
  <c r="L42" i="7" s="1"/>
  <c r="M30" i="7"/>
  <c r="M18" i="7"/>
  <c r="L18" i="7" s="1"/>
  <c r="M6" i="7"/>
  <c r="L6" i="7" s="1"/>
  <c r="M337" i="7"/>
  <c r="L337" i="7" s="1"/>
  <c r="M325" i="7"/>
  <c r="L325" i="7" s="1"/>
  <c r="M313" i="7"/>
  <c r="L313" i="7" s="1"/>
  <c r="M301" i="7"/>
  <c r="L301" i="7" s="1"/>
  <c r="M289" i="7"/>
  <c r="L289" i="7" s="1"/>
  <c r="M277" i="7"/>
  <c r="L277" i="7" s="1"/>
  <c r="M265" i="7"/>
  <c r="L265" i="7" s="1"/>
  <c r="M253" i="7"/>
  <c r="L253" i="7" s="1"/>
  <c r="M241" i="7"/>
  <c r="L241" i="7" s="1"/>
  <c r="M229" i="7"/>
  <c r="L229" i="7" s="1"/>
  <c r="M217" i="7"/>
  <c r="L217" i="7" s="1"/>
  <c r="M205" i="7"/>
  <c r="L205" i="7" s="1"/>
  <c r="M193" i="7"/>
  <c r="L193" i="7" s="1"/>
  <c r="M181" i="7"/>
  <c r="L181" i="7" s="1"/>
  <c r="M169" i="7"/>
  <c r="M157" i="7"/>
  <c r="M145" i="7"/>
  <c r="M133" i="7"/>
  <c r="M121" i="7"/>
  <c r="L121" i="7" s="1"/>
  <c r="M109" i="7"/>
  <c r="L109" i="7" s="1"/>
  <c r="M97" i="7"/>
  <c r="L97" i="7" s="1"/>
  <c r="M85" i="7"/>
  <c r="L85" i="7" s="1"/>
  <c r="M73" i="7"/>
  <c r="M61" i="7"/>
  <c r="L61" i="7" s="1"/>
  <c r="M49" i="7"/>
  <c r="M37" i="7"/>
  <c r="L37" i="7" s="1"/>
  <c r="M25" i="7"/>
  <c r="L25" i="7" s="1"/>
  <c r="M13" i="7"/>
  <c r="L13" i="7" s="1"/>
  <c r="M305" i="7"/>
  <c r="M344" i="7"/>
  <c r="M332" i="7"/>
  <c r="L332" i="7" s="1"/>
  <c r="M320" i="7"/>
  <c r="L320" i="7" s="1"/>
  <c r="M308" i="7"/>
  <c r="L308" i="7" s="1"/>
  <c r="M296" i="7"/>
  <c r="M284" i="7"/>
  <c r="L284" i="7" s="1"/>
  <c r="M272" i="7"/>
  <c r="L272" i="7" s="1"/>
  <c r="M260" i="7"/>
  <c r="L260" i="7" s="1"/>
  <c r="M248" i="7"/>
  <c r="L248" i="7" s="1"/>
  <c r="M236" i="7"/>
  <c r="L236" i="7" s="1"/>
  <c r="M224" i="7"/>
  <c r="L224" i="7" s="1"/>
  <c r="M212" i="7"/>
  <c r="M200" i="7"/>
  <c r="M188" i="7"/>
  <c r="L188" i="7" s="1"/>
  <c r="M176" i="7"/>
  <c r="M164" i="7"/>
  <c r="M152" i="7"/>
  <c r="L152" i="7" s="1"/>
  <c r="M140" i="7"/>
  <c r="M128" i="7"/>
  <c r="L128" i="7" s="1"/>
  <c r="M116" i="7"/>
  <c r="L116" i="7" s="1"/>
  <c r="M104" i="7"/>
  <c r="L104" i="7" s="1"/>
  <c r="M92" i="7"/>
  <c r="L92" i="7" s="1"/>
  <c r="M80" i="7"/>
  <c r="L80" i="7" s="1"/>
  <c r="M68" i="7"/>
  <c r="L68" i="7" s="1"/>
  <c r="M56" i="7"/>
  <c r="M44" i="7"/>
  <c r="L44" i="7" s="1"/>
  <c r="M32" i="7"/>
  <c r="L32" i="7" s="1"/>
  <c r="M20" i="7"/>
  <c r="L20" i="7" s="1"/>
  <c r="M8" i="7"/>
  <c r="L8" i="7" s="1"/>
  <c r="M317" i="7"/>
  <c r="L317" i="7" s="1"/>
  <c r="M327" i="7"/>
  <c r="L327" i="7" s="1"/>
  <c r="M315" i="7"/>
  <c r="L315" i="7" s="1"/>
  <c r="M303" i="7"/>
  <c r="L303" i="7" s="1"/>
  <c r="M291" i="7"/>
  <c r="L291" i="7" s="1"/>
  <c r="M279" i="7"/>
  <c r="L279" i="7" s="1"/>
  <c r="M267" i="7"/>
  <c r="M255" i="7"/>
  <c r="L255" i="7" s="1"/>
  <c r="M243" i="7"/>
  <c r="L243" i="7" s="1"/>
  <c r="M231" i="7"/>
  <c r="L231" i="7" s="1"/>
  <c r="M219" i="7"/>
  <c r="L219" i="7" s="1"/>
  <c r="M207" i="7"/>
  <c r="L207" i="7" s="1"/>
  <c r="M195" i="7"/>
  <c r="L195" i="7" s="1"/>
  <c r="M183" i="7"/>
  <c r="L183" i="7" s="1"/>
  <c r="M171" i="7"/>
  <c r="M159" i="7"/>
  <c r="L159" i="7" s="1"/>
  <c r="M147" i="7"/>
  <c r="L147" i="7" s="1"/>
  <c r="M135" i="7"/>
  <c r="M123" i="7"/>
  <c r="L123" i="7" s="1"/>
  <c r="M111" i="7"/>
  <c r="L111" i="7" s="1"/>
  <c r="M99" i="7"/>
  <c r="L99" i="7" s="1"/>
  <c r="M87" i="7"/>
  <c r="L87" i="7" s="1"/>
  <c r="M75" i="7"/>
  <c r="L75" i="7" s="1"/>
  <c r="M63" i="7"/>
  <c r="M51" i="7"/>
  <c r="L51" i="7" s="1"/>
  <c r="M39" i="7"/>
  <c r="L39" i="7" s="1"/>
  <c r="M27" i="7"/>
  <c r="L27" i="7" s="1"/>
  <c r="M15" i="7"/>
  <c r="L15" i="7" s="1"/>
  <c r="M3" i="7"/>
  <c r="L3" i="7" s="1"/>
</calcChain>
</file>

<file path=xl/sharedStrings.xml><?xml version="1.0" encoding="utf-8"?>
<sst xmlns="http://schemas.openxmlformats.org/spreadsheetml/2006/main" count="2031" uniqueCount="621">
  <si>
    <t>string</t>
  </si>
  <si>
    <t>action</t>
  </si>
  <si>
    <t>alias</t>
  </si>
  <si>
    <t>allow_fill</t>
  </si>
  <si>
    <t>alpha_sort</t>
  </si>
  <si>
    <t>bypass_suggest_restrictions</t>
  </si>
  <si>
    <t>can_filter</t>
  </si>
  <si>
    <t>case</t>
  </si>
  <si>
    <t>case_sensitive</t>
  </si>
  <si>
    <t>convert_tz</t>
  </si>
  <si>
    <t>datatype</t>
  </si>
  <si>
    <t>description</t>
  </si>
  <si>
    <t>dimension</t>
  </si>
  <si>
    <t>drill_fields</t>
  </si>
  <si>
    <t>end_location_field</t>
  </si>
  <si>
    <t>explore-ref</t>
  </si>
  <si>
    <t>fanout_on</t>
  </si>
  <si>
    <t>field-ref</t>
  </si>
  <si>
    <t>full_suggestions</t>
  </si>
  <si>
    <t>group_item_label</t>
  </si>
  <si>
    <t>group_label</t>
  </si>
  <si>
    <t>hidden</t>
  </si>
  <si>
    <t>html</t>
  </si>
  <si>
    <t>label</t>
  </si>
  <si>
    <t>label_from_parameter</t>
  </si>
  <si>
    <t>link</t>
  </si>
  <si>
    <t>map-layer-ref</t>
  </si>
  <si>
    <t>map_layer_name</t>
  </si>
  <si>
    <t>order_by_field</t>
  </si>
  <si>
    <t>possibly-localized-string</t>
  </si>
  <si>
    <t>primary_key</t>
  </si>
  <si>
    <t>required_access_grants</t>
  </si>
  <si>
    <t>required_fields</t>
  </si>
  <si>
    <t>skip_drill_filter</t>
  </si>
  <si>
    <t>sql</t>
  </si>
  <si>
    <t>sql_end</t>
  </si>
  <si>
    <t>sql_latitude</t>
  </si>
  <si>
    <t>sql_longitude</t>
  </si>
  <si>
    <t>sql_start</t>
  </si>
  <si>
    <t>start_location_field</t>
  </si>
  <si>
    <t>string_datatype</t>
  </si>
  <si>
    <t>style</t>
  </si>
  <si>
    <t>suggest_dimension</t>
  </si>
  <si>
    <t>suggest_explore</t>
  </si>
  <si>
    <t>suggest_persist_for</t>
  </si>
  <si>
    <t>suggestable</t>
  </si>
  <si>
    <t>suggestions</t>
  </si>
  <si>
    <t>tags</t>
  </si>
  <si>
    <t>tiers</t>
  </si>
  <si>
    <t>type</t>
  </si>
  <si>
    <t>units</t>
  </si>
  <si>
    <t>value-format-ref</t>
  </si>
  <si>
    <t>value_format</t>
  </si>
  <si>
    <t>value_format_name</t>
  </si>
  <si>
    <t>view_label</t>
  </si>
  <si>
    <t>allow_approximate_optimization</t>
  </si>
  <si>
    <t>approximate</t>
  </si>
  <si>
    <t>approximate_threshold</t>
  </si>
  <si>
    <t>direction</t>
  </si>
  <si>
    <t>filters</t>
  </si>
  <si>
    <t>list_field</t>
  </si>
  <si>
    <t>measure</t>
  </si>
  <si>
    <t>number</t>
  </si>
  <si>
    <t>percentile</t>
  </si>
  <si>
    <t>precision</t>
  </si>
  <si>
    <t>sql_distinct_key</t>
  </si>
  <si>
    <t>cluster_keys</t>
  </si>
  <si>
    <t>create_process</t>
  </si>
  <si>
    <t>datagroup-ref</t>
  </si>
  <si>
    <t>datagroup_trigger</t>
  </si>
  <si>
    <t>derived_table</t>
  </si>
  <si>
    <t>distribution</t>
  </si>
  <si>
    <t>distribution_style</t>
  </si>
  <si>
    <t>explore_source</t>
  </si>
  <si>
    <t>indexes</t>
  </si>
  <si>
    <t>partition_keys</t>
  </si>
  <si>
    <t>persist_for</t>
  </si>
  <si>
    <t>publish_as_db_view</t>
  </si>
  <si>
    <t>sortkeys</t>
  </si>
  <si>
    <t>sql_create</t>
  </si>
  <si>
    <t>sql_trigger_value</t>
  </si>
  <si>
    <t>table_compression</t>
  </si>
  <si>
    <t>table_format</t>
  </si>
  <si>
    <t>access_filter</t>
  </si>
  <si>
    <t>aggregate_table</t>
  </si>
  <si>
    <t>always_filter</t>
  </si>
  <si>
    <t>always_join</t>
  </si>
  <si>
    <t>cancel_grouping_fields</t>
  </si>
  <si>
    <t>conditionally_filter</t>
  </si>
  <si>
    <t>explore</t>
  </si>
  <si>
    <t>extends</t>
  </si>
  <si>
    <t>extension</t>
  </si>
  <si>
    <t>fields</t>
  </si>
  <si>
    <t>final</t>
  </si>
  <si>
    <t>from</t>
  </si>
  <si>
    <t>identifier</t>
  </si>
  <si>
    <t>join</t>
  </si>
  <si>
    <t>persist_with</t>
  </si>
  <si>
    <t>sql_always_having</t>
  </si>
  <si>
    <t>sql_always_where</t>
  </si>
  <si>
    <t>sql_table_name</t>
  </si>
  <si>
    <t>view-ref</t>
  </si>
  <si>
    <t>view_name</t>
  </si>
  <si>
    <t>foreign_key</t>
  </si>
  <si>
    <t>outer_only</t>
  </si>
  <si>
    <t>relationship</t>
  </si>
  <si>
    <t>required_joins</t>
  </si>
  <si>
    <t>sql_foreign_key</t>
  </si>
  <si>
    <t>sql_on</t>
  </si>
  <si>
    <t>sql_where</t>
  </si>
  <si>
    <t>view</t>
  </si>
  <si>
    <t>model</t>
  </si>
  <si>
    <t>query</t>
  </si>
  <si>
    <t>materialization</t>
  </si>
  <si>
    <t>manifest</t>
  </si>
  <si>
    <t>entitlements</t>
  </si>
  <si>
    <t>key</t>
  </si>
  <si>
    <t>parent</t>
  </si>
  <si>
    <t>default_value</t>
  </si>
  <si>
    <t>docs_link</t>
  </si>
  <si>
    <t>has_allowed_values</t>
  </si>
  <si>
    <t>allowed_values</t>
  </si>
  <si>
    <t>ID</t>
  </si>
  <si>
    <t>dimension_group</t>
  </si>
  <si>
    <t>filter</t>
  </si>
  <si>
    <t>parameter</t>
  </si>
  <si>
    <t>application</t>
  </si>
  <si>
    <t>visualization</t>
  </si>
  <si>
    <t>option</t>
  </si>
  <si>
    <t>column</t>
  </si>
  <si>
    <t>derived_column</t>
  </si>
  <si>
    <t>bind_filters</t>
  </si>
  <si>
    <t>map_layer</t>
  </si>
  <si>
    <t>test</t>
  </si>
  <si>
    <t>datagroup</t>
  </si>
  <si>
    <t>named_value_format</t>
  </si>
  <si>
    <t>set</t>
  </si>
  <si>
    <t>https://looker.com/docs/r/lookml/types/model/access_grant?version=7.14&amp;lookml=new</t>
  </si>
  <si>
    <t>https://looker.com/docs/r/lookml/types/model/case_sensitive?version=7.14&amp;lookml=new</t>
  </si>
  <si>
    <t>https://looker.com/docs/r/lookml/types/model/connection?version=7.14&amp;lookml=new</t>
  </si>
  <si>
    <t>https://looker.com/docs/r/lookml/types/model/datagroup?version=7.14&amp;lookml=new</t>
  </si>
  <si>
    <t>https://looker.com/docs/r/lookml/types/model/explore?version=7.14&amp;lookml=new</t>
  </si>
  <si>
    <t>https://looker.com/docs/r/lookml/types/model/fiscal_month_offset?version=7.14&amp;lookml=new</t>
  </si>
  <si>
    <t>https://looker.com/docs/r/lookml/types/model/include?version=7.14&amp;lookml=new</t>
  </si>
  <si>
    <t>https://looker.com/docs/r/lookml/types/model/label?version=7.14&amp;lookml=new</t>
  </si>
  <si>
    <t>https://looker.com/docs/r/lookml/types/model/map_layer?version=7.14&amp;lookml=new</t>
  </si>
  <si>
    <t>https://looker.com/docs/r/lookml/types/model/named_value_format?version=7.14&amp;lookml=new</t>
  </si>
  <si>
    <t>https://looker.com/docs/r/lookml/types/model/persist_for?version=7.14&amp;lookml=new</t>
  </si>
  <si>
    <t>https://looker.com/docs/r/lookml/types/model/persist_with?version=7.14&amp;lookml=new</t>
  </si>
  <si>
    <t>https://looker.com/docs/r/lookml/types/model/test?version=7.14&amp;lookml=new</t>
  </si>
  <si>
    <t>https://looker.com/docs/r/lookml/types/model/view?version=7.14&amp;lookml=new</t>
  </si>
  <si>
    <t>https://looker.com/docs/r/lookml/types/model/week_start_day?version=7.14&amp;lookml=new</t>
  </si>
  <si>
    <t>https://looker.com/docs/r/lookml/types/manifest/local_dependency?version=7.14&amp;lookml=new</t>
  </si>
  <si>
    <t>https://looker.com/docs/r/lookml/types/manifest/remote_dependency?version=7.14&amp;lookml=new</t>
  </si>
  <si>
    <t>https://looker.com/docs/r/lookml/types/manifest/localization_settings?version=7.14&amp;lookml=new</t>
  </si>
  <si>
    <t>https://looker.com/docs/r/lookml/types/manifest/project_name?version=7.14&amp;lookml=new</t>
  </si>
  <si>
    <t>https://looker.com/docs/r/lookml/types/manifest/constant?version=7.14&amp;lookml=new</t>
  </si>
  <si>
    <t>https://looker.com/docs/r/lookml/types/manifest/application?version=7.14&amp;lookml=new</t>
  </si>
  <si>
    <t>https://looker.com/docs/r/lookml/types/view/dimension?version=7.14&amp;lookml=new</t>
  </si>
  <si>
    <t>https://looker.com/docs/r/lookml/types/view/dimension_group?version=7.14&amp;lookml=new</t>
  </si>
  <si>
    <t>https://looker.com/docs/r/lookml/types/view/drill_fields?version=7.14&amp;lookml=new</t>
  </si>
  <si>
    <t>https://looker.com/docs/r/lookml/types/view/extends?version=7.14&amp;lookml=new</t>
  </si>
  <si>
    <t>https://looker.com/docs/r/lookml/types/view/extension?version=7.14&amp;lookml=new</t>
  </si>
  <si>
    <t>https://looker.com/docs/r/lookml/types/view/filter?version=7.14&amp;lookml=new</t>
  </si>
  <si>
    <t>https://looker.com/docs/r/lookml/types/view/final?version=7.14&amp;lookml=new</t>
  </si>
  <si>
    <t>https://looker.com/docs/r/lookml/types/view/label?version=7.14&amp;lookml=new</t>
  </si>
  <si>
    <t>https://looker.com/docs/r/lookml/types/view/measure?version=7.14&amp;lookml=new</t>
  </si>
  <si>
    <t>https://looker.com/docs/r/lookml/types/view/parameter?version=7.14&amp;lookml=new</t>
  </si>
  <si>
    <t>https://looker.com/docs/r/lookml/types/view/derived_table?version=7.14&amp;lookml=new</t>
  </si>
  <si>
    <t>https://looker.com/docs/r/lookml/types/view/required_access_grants?version=7.14&amp;lookml=new</t>
  </si>
  <si>
    <t>https://looker.com/docs/r/lookml/types/view/set?version=7.14&amp;lookml=new</t>
  </si>
  <si>
    <t>https://looker.com/docs/r/lookml/types/view/sql_table_name?version=7.14&amp;lookml=new</t>
  </si>
  <si>
    <t>https://looker.com/docs/r/lookml/types/view/suggestions?version=7.14&amp;lookml=new</t>
  </si>
  <si>
    <t>https://looker.com/docs/r/lookml/types/view/view_label?version=7.14&amp;lookml=new</t>
  </si>
  <si>
    <t>https://looker.com/docs/r/lookml/types/explore/access_filter?version=7.14&amp;lookml=new</t>
  </si>
  <si>
    <t>https://looker.com/docs/r/lookml/types/explore/aggregate_table?version=7.14&amp;lookml=new</t>
  </si>
  <si>
    <t>https://looker.com/docs/r/lookml/types/explore/always_filter?version=7.14&amp;lookml=new</t>
  </si>
  <si>
    <t>https://looker.com/docs/r/lookml/types/explore/always_join?version=7.14&amp;lookml=new</t>
  </si>
  <si>
    <t>https://looker.com/docs/r/lookml/types/explore/cancel_grouping_fields?version=7.14&amp;lookml=new</t>
  </si>
  <si>
    <t>https://looker.com/docs/r/lookml/types/explore/conditionally_filter?version=7.14&amp;lookml=new</t>
  </si>
  <si>
    <t>https://looker.com/docs/r/lookml/types/explore/case_sensitive?version=7.14&amp;lookml=new</t>
  </si>
  <si>
    <t>https://looker.com/docs/r/lookml/types/explore/description?version=7.14&amp;lookml=new</t>
  </si>
  <si>
    <t>https://looker.com/docs/r/lookml/types/explore/group_label?version=7.14&amp;lookml=new</t>
  </si>
  <si>
    <t>https://looker.com/docs/r/lookml/types/explore/extends?version=7.14&amp;lookml=new</t>
  </si>
  <si>
    <t>https://looker.com/docs/r/lookml/types/explore/extension?version=7.14&amp;lookml=new</t>
  </si>
  <si>
    <t>https://looker.com/docs/r/lookml/types/explore/from?version=7.14&amp;lookml=new</t>
  </si>
  <si>
    <t>https://looker.com/docs/r/lookml/types/explore/fields?version=7.14&amp;lookml=new</t>
  </si>
  <si>
    <t>https://looker.com/docs/r/lookml/types/explore/final?version=7.14&amp;lookml=new</t>
  </si>
  <si>
    <t>https://looker.com/docs/r/lookml/types/explore/hidden?version=7.14&amp;lookml=new</t>
  </si>
  <si>
    <t>https://looker.com/docs/r/lookml/types/explore/join?version=7.14&amp;lookml=new</t>
  </si>
  <si>
    <t>https://looker.com/docs/r/lookml/types/explore/label?version=7.14&amp;lookml=new</t>
  </si>
  <si>
    <t>https://looker.com/docs/r/lookml/types/explore/persist_for?version=7.14&amp;lookml=new</t>
  </si>
  <si>
    <t>https://looker.com/docs/r/lookml/types/explore/persist_with?version=7.14&amp;lookml=new</t>
  </si>
  <si>
    <t>https://looker.com/docs/r/lookml/types/explore/required_access_grants?version=7.14&amp;lookml=new</t>
  </si>
  <si>
    <t>https://looker.com/docs/r/lookml/types/explore/sql_always_where?version=7.14&amp;lookml=new</t>
  </si>
  <si>
    <t>https://looker.com/docs/r/lookml/types/explore/sql_always_having?version=7.14&amp;lookml=new</t>
  </si>
  <si>
    <t>https://looker.com/docs/r/lookml/types/explore/sql_table_name?version=7.14&amp;lookml=new</t>
  </si>
  <si>
    <t>https://looker.com/docs/r/lookml/types/explore/tags?version=7.14&amp;lookml=new</t>
  </si>
  <si>
    <t>https://looker.com/docs/r/lookml/types/explore/view_label?version=7.14&amp;lookml=new</t>
  </si>
  <si>
    <t>https://looker.com/docs/r/lookml/types/explore/view_name?version=7.14&amp;lookml=new</t>
  </si>
  <si>
    <t>https://looker.com/docs/r/lookml/types/dimension/action?version=7.14&amp;lookml=new</t>
  </si>
  <si>
    <t>https://looker.com/docs/r/lookml/types/dimension/allow_fill?version=7.14&amp;lookml=new</t>
  </si>
  <si>
    <t>https://looker.com/docs/r/lookml/types/dimension/alpha_sort?version=7.14&amp;lookml=new</t>
  </si>
  <si>
    <t>https://looker.com/docs/r/lookml/types/dimension/bypass_suggest_restrictions?version=7.14&amp;lookml=new</t>
  </si>
  <si>
    <t>https://looker.com/docs/r/lookml/types/dimension/can_filter?version=7.14&amp;lookml=new</t>
  </si>
  <si>
    <t>https://looker.com/docs/r/lookml/types/dimension/case?version=7.14&amp;lookml=new</t>
  </si>
  <si>
    <t>https://looker.com/docs/r/lookml/types/dimension/case_sensitive?version=7.14&amp;lookml=new</t>
  </si>
  <si>
    <t>https://looker.com/docs/r/lookml/types/dimension/datatype?version=7.14&amp;lookml=new</t>
  </si>
  <si>
    <t>https://looker.com/docs/r/lookml/types/dimension/drill_fields?version=7.14&amp;lookml=new</t>
  </si>
  <si>
    <t>https://looker.com/docs/r/lookml/types/dimension/end_location_field?version=7.14&amp;lookml=new</t>
  </si>
  <si>
    <t>https://looker.com/docs/r/lookml/types/dimension/fanout_on?version=7.14&amp;lookml=new</t>
  </si>
  <si>
    <t>https://looker.com/docs/r/lookml/types/dimension/full_suggestions?version=7.14&amp;lookml=new</t>
  </si>
  <si>
    <t>https://looker.com/docs/r/lookml/types/dimension/group_label?version=7.14&amp;lookml=new</t>
  </si>
  <si>
    <t>https://looker.com/docs/r/lookml/types/dimension/group_item_label?version=7.14&amp;lookml=new</t>
  </si>
  <si>
    <t>https://looker.com/docs/r/lookml/types/dimension/html?version=7.14&amp;lookml=new</t>
  </si>
  <si>
    <t>https://looker.com/docs/r/lookml/types/dimension/label_from_parameter?version=7.14&amp;lookml=new</t>
  </si>
  <si>
    <t>https://looker.com/docs/r/lookml/types/dimension/link?version=7.14&amp;lookml=new</t>
  </si>
  <si>
    <t>https://looker.com/docs/r/lookml/types/dimension/map_layer_name?version=7.14&amp;lookml=new</t>
  </si>
  <si>
    <t>https://looker.com/docs/r/lookml/types/dimension/order_by_field?version=7.14&amp;lookml=new</t>
  </si>
  <si>
    <t>https://looker.com/docs/r/lookml/types/dimension/primary_key?version=7.14&amp;lookml=new</t>
  </si>
  <si>
    <t>https://looker.com/docs/r/lookml/types/dimension/required_fields?version=7.14&amp;lookml=new</t>
  </si>
  <si>
    <t>https://looker.com/docs/r/lookml/types/dimension/skip_drill_filter?version=7.14&amp;lookml=new</t>
  </si>
  <si>
    <t>https://looker.com/docs/r/lookml/types/dimension/start_location_field?version=7.14&amp;lookml=new</t>
  </si>
  <si>
    <t>https://looker.com/docs/r/lookml/types/dimension/suggestions?version=7.14&amp;lookml=new</t>
  </si>
  <si>
    <t>https://looker.com/docs/r/lookml/types/dimension/suggest_persist_for?version=7.14&amp;lookml=new</t>
  </si>
  <si>
    <t>https://looker.com/docs/r/lookml/types/dimension/style?version=7.14&amp;lookml=new</t>
  </si>
  <si>
    <t>https://looker.com/docs/r/lookml/types/dimension/sql?version=7.14&amp;lookml=new</t>
  </si>
  <si>
    <t>https://looker.com/docs/r/lookml/types/dimension/sql_end?version=7.14&amp;lookml=new</t>
  </si>
  <si>
    <t>https://looker.com/docs/r/lookml/types/dimension/sql_start?version=7.14&amp;lookml=new</t>
  </si>
  <si>
    <t>https://looker.com/docs/r/lookml/types/dimension/tiers?version=7.14&amp;lookml=new</t>
  </si>
  <si>
    <t>https://looker.com/docs/r/lookml/types/dimension/sql_longitude?version=7.14&amp;lookml=new</t>
  </si>
  <si>
    <t>https://looker.com/docs/r/lookml/types/dimension/sql_latitude?version=7.14&amp;lookml=new</t>
  </si>
  <si>
    <t>https://looker.com/docs/r/lookml/types/dimension/string_datatype?version=7.14&amp;lookml=new</t>
  </si>
  <si>
    <t>https://looker.com/docs/r/lookml/types/dimension/units?version=7.14&amp;lookml=new</t>
  </si>
  <si>
    <t>https://looker.com/docs/r/lookml/types/dimension/value_format?version=7.14&amp;lookml=new</t>
  </si>
  <si>
    <t>https://looker.com/docs/r/lookml/types/dimension/value_format_name?version=7.14&amp;lookml=new</t>
  </si>
  <si>
    <t>https://looker.com/docs/r/lookml/types/dimension/alias?version=7.14&amp;lookml=new</t>
  </si>
  <si>
    <t>https://looker.com/docs/r/lookml/types/dimension/convert_tz?version=7.14&amp;lookml=new</t>
  </si>
  <si>
    <t>https://looker.com/docs/r/lookml/types/dimension/description?version=7.14&amp;lookml=new</t>
  </si>
  <si>
    <t>https://looker.com/docs/r/lookml/types/dimension/hidden?version=7.14&amp;lookml=new</t>
  </si>
  <si>
    <t>https://looker.com/docs/r/lookml/types/dimension/label?version=7.14&amp;lookml=new</t>
  </si>
  <si>
    <t>https://looker.com/docs/r/lookml/types/dimension/required_access_grants?version=7.14&amp;lookml=new</t>
  </si>
  <si>
    <t>https://looker.com/docs/r/lookml/types/dimension/suggestable?version=7.14&amp;lookml=new</t>
  </si>
  <si>
    <t>https://looker.com/docs/r/lookml/types/dimension/tags?version=7.14&amp;lookml=new</t>
  </si>
  <si>
    <t>https://looker.com/docs/r/lookml/types/dimension/type?version=7.14&amp;lookml=new</t>
  </si>
  <si>
    <t>https://looker.com/docs/r/lookml/types/dimension/suggest_dimension?version=7.14&amp;lookml=new</t>
  </si>
  <si>
    <t>https://looker.com/docs/r/lookml/types/dimension/suggest_explore?version=7.14&amp;lookml=new</t>
  </si>
  <si>
    <t>https://looker.com/docs/r/lookml/types/dimension/view_label?version=7.14&amp;lookml=new</t>
  </si>
  <si>
    <t>https://looker.com/docs/r/lookml/types/measure/action?version=7.14&amp;lookml=new</t>
  </si>
  <si>
    <t>https://looker.com/docs/r/lookml/types/measure/approximate?version=7.14&amp;lookml=new</t>
  </si>
  <si>
    <t>https://looker.com/docs/r/lookml/types/measure/approximate_threshold?version=7.14&amp;lookml=new</t>
  </si>
  <si>
    <t>https://looker.com/docs/r/lookml/types/measure/allow_approximate_optimization?version=7.14&amp;lookml=new</t>
  </si>
  <si>
    <t>https://looker.com/docs/r/lookml/types/measure/can_filter?version=7.14&amp;lookml=new</t>
  </si>
  <si>
    <t>https://looker.com/docs/r/lookml/types/measure/datatype?version=7.14&amp;lookml=new</t>
  </si>
  <si>
    <t>https://looker.com/docs/r/lookml/types/measure/direction?version=7.14&amp;lookml=new</t>
  </si>
  <si>
    <t>https://looker.com/docs/r/lookml/types/measure/drill_fields?version=7.14&amp;lookml=new</t>
  </si>
  <si>
    <t>https://looker.com/docs/r/lookml/types/measure/fanout_on?version=7.14&amp;lookml=new</t>
  </si>
  <si>
    <t>https://looker.com/docs/r/lookml/types/measure/filters?version=7.14&amp;lookml=new</t>
  </si>
  <si>
    <t>https://looker.com/docs/r/lookml/types/measure/group_label?version=7.14&amp;lookml=new</t>
  </si>
  <si>
    <t>https://looker.com/docs/r/lookml/types/measure/group_item_label?version=7.14&amp;lookml=new</t>
  </si>
  <si>
    <t>https://looker.com/docs/r/lookml/types/measure/html?version=7.14&amp;lookml=new</t>
  </si>
  <si>
    <t>https://looker.com/docs/r/lookml/types/measure/label_from_parameter?version=7.14&amp;lookml=new</t>
  </si>
  <si>
    <t>https://looker.com/docs/r/lookml/types/measure/link?version=7.14&amp;lookml=new</t>
  </si>
  <si>
    <t>https://looker.com/docs/r/lookml/types/measure/list_field?version=7.14&amp;lookml=new</t>
  </si>
  <si>
    <t>https://looker.com/docs/r/lookml/types/measure/order_by_field?version=7.14&amp;lookml=new</t>
  </si>
  <si>
    <t>https://looker.com/docs/r/lookml/types/measure/percentile?version=7.14&amp;lookml=new</t>
  </si>
  <si>
    <t>https://looker.com/docs/r/lookml/types/measure/precision?version=7.14&amp;lookml=new</t>
  </si>
  <si>
    <t>https://looker.com/docs/r/lookml/types/measure/required_fields?version=7.14&amp;lookml=new</t>
  </si>
  <si>
    <t>https://looker.com/docs/r/lookml/types/measure/sql?version=7.14&amp;lookml=new</t>
  </si>
  <si>
    <t>https://looker.com/docs/r/lookml/types/measure/sql_distinct_key?version=7.14&amp;lookml=new</t>
  </si>
  <si>
    <t>https://looker.com/docs/r/lookml/types/measure/value_format?version=7.14&amp;lookml=new</t>
  </si>
  <si>
    <t>https://looker.com/docs/r/lookml/types/measure/value_format_name?version=7.14&amp;lookml=new</t>
  </si>
  <si>
    <t>https://looker.com/docs/r/lookml/types/measure/alias?version=7.14&amp;lookml=new</t>
  </si>
  <si>
    <t>https://looker.com/docs/r/lookml/types/measure/convert_tz?version=7.14&amp;lookml=new</t>
  </si>
  <si>
    <t>https://looker.com/docs/r/lookml/types/measure/description?version=7.14&amp;lookml=new</t>
  </si>
  <si>
    <t>https://looker.com/docs/r/lookml/types/measure/hidden?version=7.14&amp;lookml=new</t>
  </si>
  <si>
    <t>https://looker.com/docs/r/lookml/types/measure/label?version=7.14&amp;lookml=new</t>
  </si>
  <si>
    <t>https://looker.com/docs/r/lookml/types/measure/required_access_grants?version=7.14&amp;lookml=new</t>
  </si>
  <si>
    <t>https://looker.com/docs/r/lookml/types/measure/suggestable?version=7.14&amp;lookml=new</t>
  </si>
  <si>
    <t>https://looker.com/docs/r/lookml/types/measure/tags?version=7.14&amp;lookml=new</t>
  </si>
  <si>
    <t>https://looker.com/docs/r/lookml/types/measure/type?version=7.14&amp;lookml=new</t>
  </si>
  <si>
    <t>https://looker.com/docs/r/lookml/types/measure/suggest_dimension?version=7.14&amp;lookml=new</t>
  </si>
  <si>
    <t>https://looker.com/docs/r/lookml/types/measure/suggest_explore?version=7.14&amp;lookml=new</t>
  </si>
  <si>
    <t>https://looker.com/docs/r/lookml/types/measure/view_label?version=7.14&amp;lookml=new</t>
  </si>
  <si>
    <t>https://looker.com/docs/r/lookml/types/dimension_group/allow_fill?version=7.14&amp;lookml=new</t>
  </si>
  <si>
    <t>https://looker.com/docs/r/lookml/types/dimension_group/bypass_suggest_restrictions?version=7.14&amp;lookml=new</t>
  </si>
  <si>
    <t>https://looker.com/docs/r/lookml/types/dimension_group/can_filter?version=7.14&amp;lookml=new</t>
  </si>
  <si>
    <t>https://looker.com/docs/r/lookml/types/dimension_group/datatype?version=7.14&amp;lookml=new</t>
  </si>
  <si>
    <t>https://looker.com/docs/r/lookml/types/dimension_group/drill_fields?version=7.14&amp;lookml=new</t>
  </si>
  <si>
    <t>https://looker.com/docs/r/lookml/types/dimension_group/fanout_on?version=7.14&amp;lookml=new</t>
  </si>
  <si>
    <t>https://looker.com/docs/r/lookml/types/dimension_group/full_suggestions?version=7.14&amp;lookml=new</t>
  </si>
  <si>
    <t>https://looker.com/docs/r/lookml/types/dimension_group/group_label?version=7.14&amp;lookml=new</t>
  </si>
  <si>
    <t>https://looker.com/docs/r/lookml/types/dimension_group/group_item_label?version=7.14&amp;lookml=new</t>
  </si>
  <si>
    <t>https://looker.com/docs/r/lookml/types/dimension_group/html?version=7.14&amp;lookml=new</t>
  </si>
  <si>
    <t>https://looker.com/docs/r/lookml/types/dimension_group/intervals?version=7.14&amp;lookml=new</t>
  </si>
  <si>
    <t>https://looker.com/docs/r/lookml/types/dimension_group/order_by_field?version=7.14&amp;lookml=new</t>
  </si>
  <si>
    <t>https://looker.com/docs/r/lookml/types/dimension_group/skip_drill_filter?version=7.14&amp;lookml=new</t>
  </si>
  <si>
    <t>https://looker.com/docs/r/lookml/types/dimension_group/sql?version=7.14&amp;lookml=new</t>
  </si>
  <si>
    <t>https://looker.com/docs/r/lookml/types/dimension_group/sql_end?version=7.14&amp;lookml=new</t>
  </si>
  <si>
    <t>https://looker.com/docs/r/lookml/types/dimension_group/sql_start?version=7.14&amp;lookml=new</t>
  </si>
  <si>
    <t>https://looker.com/docs/r/lookml/types/dimension_group/timeframes?version=7.14&amp;lookml=new</t>
  </si>
  <si>
    <t>https://looker.com/docs/r/lookml/types/dimension_group/alias?version=7.14&amp;lookml=new</t>
  </si>
  <si>
    <t>https://looker.com/docs/r/lookml/types/dimension_group/convert_tz?version=7.14&amp;lookml=new</t>
  </si>
  <si>
    <t>https://looker.com/docs/r/lookml/types/dimension_group/description?version=7.14&amp;lookml=new</t>
  </si>
  <si>
    <t>https://looker.com/docs/r/lookml/types/dimension_group/hidden?version=7.14&amp;lookml=new</t>
  </si>
  <si>
    <t>https://looker.com/docs/r/lookml/types/dimension_group/label?version=7.14&amp;lookml=new</t>
  </si>
  <si>
    <t>https://looker.com/docs/r/lookml/types/dimension_group/required_access_grants?version=7.14&amp;lookml=new</t>
  </si>
  <si>
    <t>https://looker.com/docs/r/lookml/types/dimension_group/suggestable?version=7.14&amp;lookml=new</t>
  </si>
  <si>
    <t>https://looker.com/docs/r/lookml/types/dimension_group/tags?version=7.14&amp;lookml=new</t>
  </si>
  <si>
    <t>https://looker.com/docs/r/lookml/types/dimension_group/type?version=7.14&amp;lookml=new</t>
  </si>
  <si>
    <t>https://looker.com/docs/r/lookml/types/dimension_group/suggest_dimension?version=7.14&amp;lookml=new</t>
  </si>
  <si>
    <t>https://looker.com/docs/r/lookml/types/dimension_group/suggest_explore?version=7.14&amp;lookml=new</t>
  </si>
  <si>
    <t>https://looker.com/docs/r/lookml/types/dimension_group/view_label?version=7.14&amp;lookml=new</t>
  </si>
  <si>
    <t>https://looker.com/docs/r/lookml/types/filter/bypass_suggest_restrictions?version=7.14&amp;lookml=new</t>
  </si>
  <si>
    <t>https://looker.com/docs/r/lookml/types/filter/case_sensitive?version=7.14&amp;lookml=new</t>
  </si>
  <si>
    <t>https://looker.com/docs/r/lookml/types/filter/datatype?version=7.14&amp;lookml=new</t>
  </si>
  <si>
    <t>https://looker.com/docs/r/lookml/types/filter/default_value?version=7.14&amp;lookml=new</t>
  </si>
  <si>
    <t>https://looker.com/docs/r/lookml/types/filter/full_suggestions?version=7.14&amp;lookml=new</t>
  </si>
  <si>
    <t>https://looker.com/docs/r/lookml/types/filter/group_label?version=7.14&amp;lookml=new</t>
  </si>
  <si>
    <t>https://looker.com/docs/r/lookml/types/filter/group_item_label?version=7.14&amp;lookml=new</t>
  </si>
  <si>
    <t>https://looker.com/docs/r/lookml/types/filter/required_fields?version=7.14&amp;lookml=new</t>
  </si>
  <si>
    <t>https://looker.com/docs/r/lookml/types/filter/suggestions?version=7.14&amp;lookml=new</t>
  </si>
  <si>
    <t>https://looker.com/docs/r/lookml/types/filter/suggest_persist_for?version=7.14&amp;lookml=new</t>
  </si>
  <si>
    <t>https://looker.com/docs/r/lookml/types/filter/sql?version=7.14&amp;lookml=new</t>
  </si>
  <si>
    <t>https://looker.com/docs/r/lookml/types/filter/alias?version=7.14&amp;lookml=new</t>
  </si>
  <si>
    <t>https://looker.com/docs/r/lookml/types/filter/convert_tz?version=7.14&amp;lookml=new</t>
  </si>
  <si>
    <t>https://looker.com/docs/r/lookml/types/filter/description?version=7.14&amp;lookml=new</t>
  </si>
  <si>
    <t>https://looker.com/docs/r/lookml/types/filter/hidden?version=7.14&amp;lookml=new</t>
  </si>
  <si>
    <t>https://looker.com/docs/r/lookml/types/filter/label?version=7.14&amp;lookml=new</t>
  </si>
  <si>
    <t>https://looker.com/docs/r/lookml/types/filter/required_access_grants?version=7.14&amp;lookml=new</t>
  </si>
  <si>
    <t>https://looker.com/docs/r/lookml/types/filter/suggestable?version=7.14&amp;lookml=new</t>
  </si>
  <si>
    <t>https://looker.com/docs/r/lookml/types/filter/tags?version=7.14&amp;lookml=new</t>
  </si>
  <si>
    <t>https://looker.com/docs/r/lookml/types/filter/type?version=7.14&amp;lookml=new</t>
  </si>
  <si>
    <t>https://looker.com/docs/r/lookml/types/filter/suggest_dimension?version=7.14&amp;lookml=new</t>
  </si>
  <si>
    <t>https://looker.com/docs/r/lookml/types/filter/suggest_explore?version=7.14&amp;lookml=new</t>
  </si>
  <si>
    <t>https://looker.com/docs/r/lookml/types/filter/view_label?version=7.14&amp;lookml=new</t>
  </si>
  <si>
    <t>https://looker.com/docs/r/lookml/types/parameter/allowed_value?version=7.14&amp;lookml=new</t>
  </si>
  <si>
    <t>https://looker.com/docs/r/lookml/types/parameter/bypass_suggest_restrictions?version=7.14&amp;lookml=new</t>
  </si>
  <si>
    <t>https://looker.com/docs/r/lookml/types/parameter/default_value?version=7.14&amp;lookml=new</t>
  </si>
  <si>
    <t>https://looker.com/docs/r/lookml/types/parameter/full_suggestions?version=7.14&amp;lookml=new</t>
  </si>
  <si>
    <t>https://looker.com/docs/r/lookml/types/parameter/group_label?version=7.14&amp;lookml=new</t>
  </si>
  <si>
    <t>https://looker.com/docs/r/lookml/types/parameter/group_item_label?version=7.14&amp;lookml=new</t>
  </si>
  <si>
    <t>https://looker.com/docs/r/lookml/types/parameter/required_fields?version=7.14&amp;lookml=new</t>
  </si>
  <si>
    <t>https://looker.com/docs/r/lookml/types/parameter/suggestions?version=7.14&amp;lookml=new</t>
  </si>
  <si>
    <t>https://looker.com/docs/r/lookml/types/parameter/suggest_persist_for?version=7.14&amp;lookml=new</t>
  </si>
  <si>
    <t>https://looker.com/docs/r/lookml/types/parameter/alias?version=7.14&amp;lookml=new</t>
  </si>
  <si>
    <t>https://looker.com/docs/r/lookml/types/parameter/convert_tz?version=7.14&amp;lookml=new</t>
  </si>
  <si>
    <t>https://looker.com/docs/r/lookml/types/parameter/description?version=7.14&amp;lookml=new</t>
  </si>
  <si>
    <t>https://looker.com/docs/r/lookml/types/parameter/hidden?version=7.14&amp;lookml=new</t>
  </si>
  <si>
    <t>https://looker.com/docs/r/lookml/types/parameter/label?version=7.14&amp;lookml=new</t>
  </si>
  <si>
    <t>https://looker.com/docs/r/lookml/types/parameter/required_access_grants?version=7.14&amp;lookml=new</t>
  </si>
  <si>
    <t>https://looker.com/docs/r/lookml/types/parameter/suggestable?version=7.14&amp;lookml=new</t>
  </si>
  <si>
    <t>https://looker.com/docs/r/lookml/types/parameter/tags?version=7.14&amp;lookml=new</t>
  </si>
  <si>
    <t>https://looker.com/docs/r/lookml/types/parameter/type?version=7.14&amp;lookml=new</t>
  </si>
  <si>
    <t>https://looker.com/docs/r/lookml/types/parameter/suggest_dimension?version=7.14&amp;lookml=new</t>
  </si>
  <si>
    <t>https://looker.com/docs/r/lookml/types/parameter/suggest_explore?version=7.14&amp;lookml=new</t>
  </si>
  <si>
    <t>https://looker.com/docs/r/lookml/types/parameter/view_label?version=7.14&amp;lookml=new</t>
  </si>
  <si>
    <t>https://looker.com/docs/r/lookml/types/derived_table/cluster_keys?version=7.14&amp;lookml=new</t>
  </si>
  <si>
    <t>https://looker.com/docs/r/lookml/types/derived_table/create_process?version=7.14&amp;lookml=new</t>
  </si>
  <si>
    <t>https://looker.com/docs/r/lookml/types/derived_table/datagroup_trigger?version=7.14&amp;lookml=new</t>
  </si>
  <si>
    <t>https://looker.com/docs/r/lookml/types/derived_table/distribution?version=7.14&amp;lookml=new</t>
  </si>
  <si>
    <t>https://looker.com/docs/r/lookml/types/derived_table/distribution_style?version=7.14&amp;lookml=new</t>
  </si>
  <si>
    <t>https://looker.com/docs/r/lookml/types/derived_table/explore_source?version=7.14&amp;lookml=new</t>
  </si>
  <si>
    <t>https://looker.com/docs/r/lookml/types/derived_table/indexes?version=7.14&amp;lookml=new</t>
  </si>
  <si>
    <t>https://looker.com/docs/r/lookml/types/derived_table/partition_keys?version=7.14&amp;lookml=new</t>
  </si>
  <si>
    <t>https://looker.com/docs/r/lookml/types/derived_table/persist_for?version=7.14&amp;lookml=new</t>
  </si>
  <si>
    <t>https://looker.com/docs/r/lookml/types/derived_table/sortkeys?version=7.14&amp;lookml=new</t>
  </si>
  <si>
    <t>https://looker.com/docs/r/lookml/types/derived_table/sql?version=7.14&amp;lookml=new</t>
  </si>
  <si>
    <t>https://looker.com/docs/r/lookml/types/derived_table/sql_create?version=7.14&amp;lookml=new</t>
  </si>
  <si>
    <t>https://looker.com/docs/r/lookml/types/derived_table/sql_trigger_value?version=7.14&amp;lookml=new</t>
  </si>
  <si>
    <t>https://looker.com/docs/r/lookml/types/derived_table/table_compression?version=7.14&amp;lookml=new</t>
  </si>
  <si>
    <t>https://looker.com/docs/r/lookml/types/derived_table/table_format?version=7.14&amp;lookml=new</t>
  </si>
  <si>
    <t>https://looker.com/docs/r/lookml/types/derived_table/publish_as_db_view?version=7.14&amp;lookml=new</t>
  </si>
  <si>
    <t>https://looker.com/docs/r/lookml/types/explore_source/expression_custom_filter?version=7.14&amp;lookml=new</t>
  </si>
  <si>
    <t>https://looker.com/docs/r/lookml/types/explore_source/filters?version=7.14&amp;lookml=new</t>
  </si>
  <si>
    <t>https://looker.com/docs/r/lookml/types/explore_source/limit?version=7.14&amp;lookml=new</t>
  </si>
  <si>
    <t>https://looker.com/docs/r/lookml/types/explore_source/column?version=7.14&amp;lookml=new</t>
  </si>
  <si>
    <t>https://looker.com/docs/r/lookml/types/explore_source/derived_column?version=7.14&amp;lookml=new</t>
  </si>
  <si>
    <t>https://looker.com/docs/r/lookml/types/explore_source/bind_all_filters?version=7.14&amp;lookml=new</t>
  </si>
  <si>
    <t>https://looker.com/docs/r/lookml/types/explore_source/bind_filters?version=7.14&amp;lookml=new</t>
  </si>
  <si>
    <t>https://looker.com/docs/r/lookml/types/explore_source/sorts?version=7.14&amp;lookml=new</t>
  </si>
  <si>
    <t>https://looker.com/docs/r/lookml/types/explore_source/timezone?version=7.14&amp;lookml=new</t>
  </si>
  <si>
    <t>https://looker.com/docs/r/lookml/types/join/fields?version=7.14&amp;lookml=new</t>
  </si>
  <si>
    <t>https://looker.com/docs/r/lookml/types/join/foreign_key?version=7.14&amp;lookml=new</t>
  </si>
  <si>
    <t>https://looker.com/docs/r/lookml/types/join/from?version=7.14&amp;lookml=new</t>
  </si>
  <si>
    <t>https://looker.com/docs/r/lookml/types/join/outer_only?version=7.14&amp;lookml=new</t>
  </si>
  <si>
    <t>https://looker.com/docs/r/lookml/types/join/relationship?version=7.14&amp;lookml=new</t>
  </si>
  <si>
    <t>https://looker.com/docs/r/lookml/types/join/required_access_grants?version=7.14&amp;lookml=new</t>
  </si>
  <si>
    <t>https://looker.com/docs/r/lookml/types/join/required_joins?version=7.14&amp;lookml=new</t>
  </si>
  <si>
    <t>https://looker.com/docs/r/lookml/types/join/sql?version=7.14&amp;lookml=new</t>
  </si>
  <si>
    <t>https://looker.com/docs/r/lookml/types/join/sql_foreign_key?version=7.14&amp;lookml=new</t>
  </si>
  <si>
    <t>https://looker.com/docs/r/lookml/types/join/sql_on?version=7.14&amp;lookml=new</t>
  </si>
  <si>
    <t>https://looker.com/docs/r/lookml/types/join/sql_table_name?version=7.14&amp;lookml=new</t>
  </si>
  <si>
    <t>https://looker.com/docs/r/lookml/types/join/sql_where?version=7.14&amp;lookml=new</t>
  </si>
  <si>
    <t>https://looker.com/docs/r/lookml/types/join/type?version=7.14&amp;lookml=new</t>
  </si>
  <si>
    <t>https://looker.com/docs/r/lookml/types/join/view_label?version=7.14&amp;lookml=new</t>
  </si>
  <si>
    <t>https://looker.com/docs/r/lookml/types/aggregate_table/query?version=7.14&amp;lookml=new</t>
  </si>
  <si>
    <t>https://looker.com/docs/r/lookml/types/aggregate_table/materialization?version=7.14&amp;lookml=new</t>
  </si>
  <si>
    <t>https://looker.com/docs/r/lookml/types/query/dimensions?version=7.14&amp;lookml=new</t>
  </si>
  <si>
    <t>https://looker.com/docs/r/lookml/types/query/measures?version=7.14&amp;lookml=new</t>
  </si>
  <si>
    <t>https://looker.com/docs/r/lookml/types/query/description?version=7.14&amp;lookml=new</t>
  </si>
  <si>
    <t>https://looker.com/docs/r/lookml/types/query/group_label?version=7.14&amp;lookml=new</t>
  </si>
  <si>
    <t>https://looker.com/docs/r/lookml/types/query/filters?version=7.14&amp;lookml=new</t>
  </si>
  <si>
    <t>https://looker.com/docs/r/lookml/types/query/limit?version=7.14&amp;lookml=new</t>
  </si>
  <si>
    <t>https://looker.com/docs/r/lookml/types/query/sorts?version=7.14&amp;lookml=new</t>
  </si>
  <si>
    <t>https://looker.com/docs/r/lookml/types/query/label?version=7.14&amp;lookml=new</t>
  </si>
  <si>
    <t>https://looker.com/docs/r/lookml/types/query/pivots?version=7.14&amp;lookml=new</t>
  </si>
  <si>
    <t>https://looker.com/docs/r/lookml/types/query/timezone?version=7.14&amp;lookml=new</t>
  </si>
  <si>
    <t>https://looker.com/docs/r/lookml/types/materialization/persist_for?version=7.14&amp;lookml=new</t>
  </si>
  <si>
    <t>https://looker.com/docs/r/lookml/types/materialization/sql_trigger_value?version=7.14&amp;lookml=new</t>
  </si>
  <si>
    <t>https://looker.com/docs/r/lookml/types/materialization/datagroup_trigger?version=7.14&amp;lookml=new</t>
  </si>
  <si>
    <t>https://looker.com/docs/r/lookml/types/application/label?version=7.14&amp;lookml=new</t>
  </si>
  <si>
    <t>https://looker.com/docs/r/lookml/types/application/url?version=7.14&amp;lookml=new</t>
  </si>
  <si>
    <t>https://looker.com/docs/r/lookml/types/application/file?version=7.14&amp;lookml=new</t>
  </si>
  <si>
    <t>https://looker.com/docs/r/lookml/types/application/entitlements?version=7.14&amp;lookml=new</t>
  </si>
  <si>
    <t>https://looker.com/docs/r/lookml/types/entitlements/local_storage?version=7.14&amp;lookml=new</t>
  </si>
  <si>
    <t>https://looker.com/docs/r/lookml/types/entitlements/navigation?version=7.14&amp;lookml=new</t>
  </si>
  <si>
    <t>https://looker.com/docs/r/lookml/types/entitlements/new_window?version=7.14&amp;lookml=new</t>
  </si>
  <si>
    <t>https://looker.com/docs/r/lookml/types/entitlements/allow_forms?version=7.14&amp;lookml=new</t>
  </si>
  <si>
    <t>https://looker.com/docs/r/lookml/types/entitlements/allow_same_origin?version=7.14&amp;lookml=new</t>
  </si>
  <si>
    <t>https://looker.com/docs/r/lookml/types/entitlements/core_api_methods?version=7.14&amp;lookml=new</t>
  </si>
  <si>
    <t>https://looker.com/docs/r/lookml/types/entitlements/external_api_urls?version=7.14&amp;lookml=new</t>
  </si>
  <si>
    <t>https://looker.com/docs/r/lookml/types/entitlements/oauth2_urls?version=7.14&amp;lookml=new</t>
  </si>
  <si>
    <t>https://looker.com/docs/r/lookml/types/entitlements/global_user_attributes?version=7.14&amp;lookml=new</t>
  </si>
  <si>
    <t>https://looker.com/docs/r/lookml/types/entitlements/scoped_user_attributes?version=7.14&amp;lookml=new</t>
  </si>
  <si>
    <t>https://looker.com/docs/r/lookml/types/visualization/id?version=7.14&amp;lookml=new</t>
  </si>
  <si>
    <t>https://looker.com/docs/r/lookml/types/visualization/label?version=7.14&amp;lookml=new</t>
  </si>
  <si>
    <t>https://looker.com/docs/r/lookml/types/visualization/url?version=7.14&amp;lookml=new</t>
  </si>
  <si>
    <t>https://looker.com/docs/r/lookml/types/visualization/sri_hash?version=7.14&amp;lookml=new</t>
  </si>
  <si>
    <t>https://looker.com/docs/r/lookml/types/visualization/dependencies?version=7.14&amp;lookml=new</t>
  </si>
  <si>
    <t>https://looker.com/docs/r/lookml/types/visualization/file?version=7.14&amp;lookml=new</t>
  </si>
  <si>
    <t>https://looker.com/docs/r/lookml/types/action/label?version=7.14&amp;lookml=new</t>
  </si>
  <si>
    <t>https://looker.com/docs/r/lookml/types/action/url?version=7.14&amp;lookml=new</t>
  </si>
  <si>
    <t>https://looker.com/docs/r/lookml/types/action/icon_url?version=7.14&amp;lookml=new</t>
  </si>
  <si>
    <t>https://looker.com/docs/r/lookml/types/action/form_url?version=7.14&amp;lookml=new</t>
  </si>
  <si>
    <t>https://looker.com/docs/r/lookml/types/action/param?version=7.14&amp;lookml=new</t>
  </si>
  <si>
    <t>https://looker.com/docs/r/lookml/types/action/form_param?version=7.14&amp;lookml=new</t>
  </si>
  <si>
    <t>https://looker.com/docs/r/lookml/types/action/user_attribute_param?version=7.14&amp;lookml=new</t>
  </si>
  <si>
    <t>https://looker.com/docs/r/lookml/types/form_param/name?version=7.14&amp;lookml=new</t>
  </si>
  <si>
    <t>https://looker.com/docs/r/lookml/types/form_param/type?version=7.14&amp;lookml=new</t>
  </si>
  <si>
    <t>https://looker.com/docs/r/lookml/types/form_param/label?version=7.14&amp;lookml=new</t>
  </si>
  <si>
    <t>https://looker.com/docs/r/lookml/types/form_param/option?version=7.14&amp;lookml=new</t>
  </si>
  <si>
    <t>https://looker.com/docs/r/lookml/types/form_param/required?version=7.14&amp;lookml=new</t>
  </si>
  <si>
    <t>https://looker.com/docs/r/lookml/types/form_param/description?version=7.14&amp;lookml=new</t>
  </si>
  <si>
    <t>https://looker.com/docs/r/lookml/types/form_param/default?version=7.14&amp;lookml=new</t>
  </si>
  <si>
    <t>https://looker.com/docs/r/lookml/types/option/name?version=7.14&amp;lookml=new</t>
  </si>
  <si>
    <t>https://looker.com/docs/r/lookml/types/option/label?version=7.14&amp;lookml=new</t>
  </si>
  <si>
    <t>https://looker.com/docs/r/lookml/types/case/when?version=7.14&amp;lookml=new</t>
  </si>
  <si>
    <t>https://looker.com/docs/r/lookml/types/case/else?version=7.14&amp;lookml=new</t>
  </si>
  <si>
    <t>https://looker.com/docs/r/lookml/types/column/field?version=7.14&amp;lookml=new</t>
  </si>
  <si>
    <t>https://looker.com/docs/r/lookml/types/derived_column/sql?version=7.14&amp;lookml=new</t>
  </si>
  <si>
    <t>https://looker.com/docs/r/lookml/types/bind_filters/from_field?version=7.14&amp;lookml=new</t>
  </si>
  <si>
    <t>https://looker.com/docs/r/lookml/types/bind_filters/to_field?version=7.14&amp;lookml=new</t>
  </si>
  <si>
    <t>https://looker.com/docs/r/lookml/types/map_layer/extents_json_url?version=7.14&amp;lookml=new</t>
  </si>
  <si>
    <t>https://looker.com/docs/r/lookml/types/map_layer/feature_key?version=7.14&amp;lookml=new</t>
  </si>
  <si>
    <t>https://looker.com/docs/r/lookml/types/map_layer/file?version=7.14&amp;lookml=new</t>
  </si>
  <si>
    <t>https://looker.com/docs/r/lookml/types/map_layer/format?version=7.14&amp;lookml=new</t>
  </si>
  <si>
    <t>https://looker.com/docs/r/lookml/types/map_layer/label?version=7.14&amp;lookml=new</t>
  </si>
  <si>
    <t>https://looker.com/docs/r/lookml/types/map_layer/max_zoom_level?version=7.14&amp;lookml=new</t>
  </si>
  <si>
    <t>https://looker.com/docs/r/lookml/types/map_layer/min_zoom_level?version=7.14&amp;lookml=new</t>
  </si>
  <si>
    <t>https://looker.com/docs/r/lookml/types/map_layer/projection?version=7.14&amp;lookml=new</t>
  </si>
  <si>
    <t>https://looker.com/docs/r/lookml/types/map_layer/property_key?version=7.14&amp;lookml=new</t>
  </si>
  <si>
    <t>https://looker.com/docs/r/lookml/types/map_layer/property_label_key?version=7.14&amp;lookml=new</t>
  </si>
  <si>
    <t>https://looker.com/docs/r/lookml/types/map_layer/url?version=7.14&amp;lookml=new</t>
  </si>
  <si>
    <t>https://looker.com/docs/r/lookml/types/test/explore_source?version=7.14&amp;lookml=new</t>
  </si>
  <si>
    <t>https://looker.com/docs/r/lookml/types/test/assert?version=7.14&amp;lookml=new</t>
  </si>
  <si>
    <t>https://looker.com/docs/r/lookml/types/datagroup/max_cache_age?version=7.14&amp;lookml=new</t>
  </si>
  <si>
    <t>https://looker.com/docs/r/lookml/types/datagroup/sql_trigger?version=7.14&amp;lookml=new</t>
  </si>
  <si>
    <t>https://looker.com/docs/r/lookml/types/datagroup/label?version=7.14&amp;lookml=new</t>
  </si>
  <si>
    <t>https://looker.com/docs/r/lookml/types/datagroup/description?version=7.14&amp;lookml=new</t>
  </si>
  <si>
    <t>https://looker.com/docs/r/lookml/types/named_value_format/value_format?version=7.14&amp;lookml=new</t>
  </si>
  <si>
    <t>https://looker.com/docs/r/lookml/types/named_value_format/strict_value_format?version=7.14&amp;lookml=new</t>
  </si>
  <si>
    <t>https://looker.com/docs/r/lookml/types/set/fields?version=7.14&amp;lookml=new</t>
  </si>
  <si>
    <t>access_grant</t>
  </si>
  <si>
    <t>connection</t>
  </si>
  <si>
    <t>fiscal_month_offset</t>
  </si>
  <si>
    <t>include</t>
  </si>
  <si>
    <t>week_start_day</t>
  </si>
  <si>
    <t>local_dependency</t>
  </si>
  <si>
    <t>remote_dependency</t>
  </si>
  <si>
    <t>localization_settings</t>
  </si>
  <si>
    <t>project_name</t>
  </si>
  <si>
    <t>constant</t>
  </si>
  <si>
    <t>intervals</t>
  </si>
  <si>
    <t>timeframes</t>
  </si>
  <si>
    <t>allowed_value</t>
  </si>
  <si>
    <t>expression_custom_filter</t>
  </si>
  <si>
    <t>limit</t>
  </si>
  <si>
    <t>bind_all_filters</t>
  </si>
  <si>
    <t>sorts</t>
  </si>
  <si>
    <t>timezone</t>
  </si>
  <si>
    <t>dimensions</t>
  </si>
  <si>
    <t>measures</t>
  </si>
  <si>
    <t>pivots</t>
  </si>
  <si>
    <t>url</t>
  </si>
  <si>
    <t>file</t>
  </si>
  <si>
    <t>local_storage</t>
  </si>
  <si>
    <t>navigation</t>
  </si>
  <si>
    <t>new_window</t>
  </si>
  <si>
    <t>allow_forms</t>
  </si>
  <si>
    <t>allow_same_origin</t>
  </si>
  <si>
    <t>core_api_methods</t>
  </si>
  <si>
    <t>external_api_urls</t>
  </si>
  <si>
    <t>oauth2_urls</t>
  </si>
  <si>
    <t>global_user_attributes</t>
  </si>
  <si>
    <t>scoped_user_attributes</t>
  </si>
  <si>
    <t>id</t>
  </si>
  <si>
    <t>sri_hash</t>
  </si>
  <si>
    <t>dependencies</t>
  </si>
  <si>
    <t>icon_url</t>
  </si>
  <si>
    <t>form_url</t>
  </si>
  <si>
    <t>param</t>
  </si>
  <si>
    <t>form_param</t>
  </si>
  <si>
    <t>user_attribute_param</t>
  </si>
  <si>
    <t>name</t>
  </si>
  <si>
    <t>required</t>
  </si>
  <si>
    <t>default</t>
  </si>
  <si>
    <t>when</t>
  </si>
  <si>
    <t>else</t>
  </si>
  <si>
    <t>field</t>
  </si>
  <si>
    <t>from_field</t>
  </si>
  <si>
    <t>to_field</t>
  </si>
  <si>
    <t>extents_json_url</t>
  </si>
  <si>
    <t>feature_key</t>
  </si>
  <si>
    <t>format</t>
  </si>
  <si>
    <t>max_zoom_level</t>
  </si>
  <si>
    <t>min_zoom_level</t>
  </si>
  <si>
    <t>projection</t>
  </si>
  <si>
    <t>property_key</t>
  </si>
  <si>
    <t>property_label_key</t>
  </si>
  <si>
    <t>assert</t>
  </si>
  <si>
    <t>max_cache_age</t>
  </si>
  <si>
    <t>sql_trigger</t>
  </si>
  <si>
    <t>strict_value_format</t>
  </si>
  <si>
    <t>general_type</t>
  </si>
  <si>
    <t>project-name</t>
  </si>
  <si>
    <t>constant-ref</t>
  </si>
  <si>
    <t>expression-block</t>
  </si>
  <si>
    <t>field-ref-to-sort-map</t>
  </si>
  <si>
    <t>anonymous_construct</t>
  </si>
  <si>
    <t>anonymous_construct_plural</t>
  </si>
  <si>
    <t>https://looker.com/docs/r/lookml/types/access_grant/allowed_values?version=7.14&amp;lookml=new</t>
  </si>
  <si>
    <t>https://looker.com/docs/r/lookml/types/access_grant/user_attribute?version=7.14&amp;lookml=new</t>
  </si>
  <si>
    <t>user-attribute-ref</t>
  </si>
  <si>
    <t>https://docs.looker.com/reference/view-params/create_process?version=7.14&amp;lookml=new</t>
  </si>
  <si>
    <t>ref</t>
  </si>
  <si>
    <t>override_constant</t>
  </si>
  <si>
    <t>value</t>
  </si>
  <si>
    <t>sql_step</t>
  </si>
  <si>
    <t>https://docs.looker.com/data-modeling/learning-lookml/importing-projects?version=7.14&amp;lookml=new#passing_constants_between_projects</t>
  </si>
  <si>
    <t>options</t>
  </si>
  <si>
    <t>airy</t>
  </si>
  <si>
    <t>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</t>
  </si>
  <si>
    <t>["topojson", "vector_tile_region"]</t>
  </si>
  <si>
    <t>["select","string","textarea"]</t>
  </si>
  <si>
    <t>topojson</t>
  </si>
  <si>
    <t>textarea</t>
  </si>
  <si>
    <t>America/Los_Angeles</t>
  </si>
  <si>
    <t>left_outer</t>
  </si>
  <si>
    <t>["cross", "full_outer", "inner", "left_outer"]</t>
  </si>
  <si>
    <t>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</t>
  </si>
  <si>
    <t>PARQUET</t>
  </si>
  <si>
    <t>["PARQUET", "ORC", "AVRO", "JSON", "TEXTFILE"]</t>
  </si>
  <si>
    <t>["GZIP", "SNAPPY"]</t>
  </si>
  <si>
    <t>GZIP</t>
  </si>
  <si>
    <t>even</t>
  </si>
  <si>
    <t>["all","even"]</t>
  </si>
  <si>
    <t>time</t>
  </si>
  <si>
    <t>yesno</t>
  </si>
  <si>
    <t>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</t>
  </si>
  <si>
    <t>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</t>
  </si>
  <si>
    <t>count</t>
  </si>
  <si>
    <t>["required"]</t>
  </si>
  <si>
    <t>["monday", "tuesday", "wednesday", "thursday", "friday", "saturday", "sunday"]</t>
  </si>
  <si>
    <t>timestamp</t>
  </si>
  <si>
    <t>["timestamp","epoch","date","datetime","timestamp", "yyyymmdd"]</t>
  </si>
  <si>
    <t>classic</t>
  </si>
  <si>
    <t>["classic","interval","integer","relational"]</t>
  </si>
  <si>
    <t>unicode</t>
  </si>
  <si>
    <t>["unicode"]</t>
  </si>
  <si>
    <t>kilometers</t>
  </si>
  <si>
    <t>["feet","kilometers","meters","miles","nautical_miles","yards"]</t>
  </si>
  <si>
    <t>options_quoted</t>
  </si>
  <si>
    <t>row</t>
  </si>
  <si>
    <t>["row","column"]</t>
  </si>
  <si>
    <t>["day","hour","minute","month","quarter","second","week","year",]</t>
  </si>
  <si>
    <t>day</t>
  </si>
  <si>
    <t>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</t>
  </si>
  <si>
    <t>["date","month","raw"]</t>
  </si>
  <si>
    <t>["duration","time"]</t>
  </si>
  <si>
    <t>["date","date_time","number","string","unquoted","yesno"]</t>
  </si>
  <si>
    <t>""</t>
  </si>
  <si>
    <t>named_construct</t>
  </si>
  <si>
    <t>monday</t>
  </si>
  <si>
    <t>[]</t>
  </si>
  <si>
    <t>list_unquoted</t>
  </si>
  <si>
    <t>expression</t>
  </si>
  <si>
    <t>list_quoted</t>
  </si>
  <si>
    <t>string_unquoted</t>
  </si>
  <si>
    <t>decimal_0</t>
  </si>
  <si>
    <t>user_attribute</t>
  </si>
  <si>
    <t>many_to_one</t>
  </si>
  <si>
    <t>["many_to_one", "many_to_many", "one_to_many", "one_to_one"]</t>
  </si>
  <si>
    <t>no</t>
  </si>
  <si>
    <t>yes</t>
  </si>
  <si>
    <t>is dupe</t>
  </si>
  <si>
    <t>copy this python</t>
  </si>
  <si>
    <t>https://docs.looker.com/reference/field-params/link?version=7.14&amp;lookml=new</t>
  </si>
  <si>
    <t>named_construct_single</t>
  </si>
  <si>
    <t>indent</t>
  </si>
  <si>
    <t>access-grant-ref</t>
  </si>
  <si>
    <t xml:space="preserve">sql-block </t>
  </si>
  <si>
    <t xml:space="preserve">html-block </t>
  </si>
  <si>
    <t>subtype</t>
  </si>
  <si>
    <t>https://docs.looker.com/reference/manifest-params/application?version=7.18&amp;lookml=new#new_window</t>
  </si>
  <si>
    <t>new_window_external_urls</t>
  </si>
  <si>
    <t>use_form_submit</t>
  </si>
  <si>
    <t>use_embeds</t>
  </si>
  <si>
    <t>https://docs.looker.com/reference/manifest-params/application?version=7.18&amp;lookml=new#use_form_submit</t>
  </si>
  <si>
    <t>https://docs.looker.com/reference/manifest-params/application?version=7.18&amp;lookml=new#use_embeds</t>
  </si>
  <si>
    <t>https://docs.looker.com/reference/field-params/action?version=7.14&amp;lookml=new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</si>
</sst>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color rgb="FF000000"/>
      <name val="Arial"/>
    </font>
    <font>
      <u/>
      <sz val="10"/>
      <color theme="10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u/>
      <sz val="10"/>
      <color rgb="FF00418C"/>
      <name val="Arial"/>
      <family val="2"/>
      <scheme val="minor"/>
    </font>
    <font>
      <u/>
      <sz val="10"/>
      <color rgb="FF3A4245"/>
      <name val="Arial"/>
      <family val="2"/>
      <scheme val="minor"/>
    </font>
    <font>
      <u/>
      <sz val="12"/>
      <color rgb="FF0063C6"/>
      <name val="Roboto Mono"/>
    </font>
    <font>
      <sz val="12"/>
      <color rgb="FF3A4245"/>
      <name val="Roboto Mono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">
    <xf numFmtId="0" fontId="0" fillId="0" borderId="0" xfId="0" applyFont="1" applyAlignment="1"/>
    <xf numFmtId="0" fontId="2" fillId="0" borderId="0" xfId="0" applyFont="1" applyAlignment="1"/>
    <xf numFmtId="0" fontId="3" fillId="3" borderId="0" xfId="0" applyFont="1" applyFill="1" applyAlignment="1"/>
    <xf numFmtId="0" fontId="4" fillId="0" borderId="0" xfId="0" applyFont="1" applyAlignment="1"/>
    <xf numFmtId="0" fontId="5" fillId="0" borderId="0" xfId="0" applyFont="1" applyAlignment="1"/>
    <xf numFmtId="0" fontId="6" fillId="0" borderId="0" xfId="1" applyFont="1" applyAlignment="1"/>
    <xf numFmtId="0" fontId="7" fillId="0" borderId="0" xfId="0" applyFont="1" applyAlignment="1"/>
    <xf numFmtId="0" fontId="8" fillId="2" borderId="0" xfId="0" applyFont="1" applyFill="1" applyAlignment="1"/>
    <xf numFmtId="0" fontId="5" fillId="0" borderId="0" xfId="0" applyFont="1" applyAlignment="1">
      <alignment wrapText="1"/>
    </xf>
    <xf numFmtId="0" fontId="5" fillId="0" borderId="0" xfId="0" applyFont="1" applyFill="1" applyBorder="1" applyAlignment="1"/>
    <xf numFmtId="0" fontId="1" fillId="0" borderId="0" xfId="1" applyAlignment="1"/>
    <xf numFmtId="0" fontId="9" fillId="0" borderId="0" xfId="0" applyFont="1" applyAlignment="1"/>
    <xf numFmtId="0" fontId="10" fillId="0" borderId="0" xfId="0" applyFont="1" applyAlignmen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looker.com/docs/r/lookml/types/measure/datatype?version=7.14&amp;lookml=new" TargetMode="External"/><Relationship Id="rId299" Type="http://schemas.openxmlformats.org/officeDocument/2006/relationships/hyperlink" Target="https://looker.com/docs/r/lookml/types/action/form_url?version=7.14&amp;lookml=new" TargetMode="External"/><Relationship Id="rId21" Type="http://schemas.openxmlformats.org/officeDocument/2006/relationships/hyperlink" Target="https://looker.com/docs/r/lookml/types/manifest/application?version=7.14&amp;lookml=new" TargetMode="External"/><Relationship Id="rId63" Type="http://schemas.openxmlformats.org/officeDocument/2006/relationships/hyperlink" Target="https://looker.com/docs/r/lookml/types/explore/view_name?version=7.14&amp;lookml=new" TargetMode="External"/><Relationship Id="rId159" Type="http://schemas.openxmlformats.org/officeDocument/2006/relationships/hyperlink" Target="https://looker.com/docs/r/lookml/types/dimension_group/order_by_field?version=7.14&amp;lookml=new" TargetMode="External"/><Relationship Id="rId324" Type="http://schemas.openxmlformats.org/officeDocument/2006/relationships/hyperlink" Target="https://looker.com/docs/r/lookml/types/map_layer/min_zoom_level?version=7.14&amp;lookml=new" TargetMode="External"/><Relationship Id="rId170" Type="http://schemas.openxmlformats.org/officeDocument/2006/relationships/hyperlink" Target="https://looker.com/docs/r/lookml/types/dimension_group/required_access_grants?version=7.14&amp;lookml=new" TargetMode="External"/><Relationship Id="rId226" Type="http://schemas.openxmlformats.org/officeDocument/2006/relationships/hyperlink" Target="https://looker.com/docs/r/lookml/types/derived_table/explore_source?version=7.14&amp;lookml=new" TargetMode="External"/><Relationship Id="rId268" Type="http://schemas.openxmlformats.org/officeDocument/2006/relationships/hyperlink" Target="https://looker.com/docs/r/lookml/types/query/sorts?version=7.14&amp;lookml=new" TargetMode="External"/><Relationship Id="rId32" Type="http://schemas.openxmlformats.org/officeDocument/2006/relationships/hyperlink" Target="https://looker.com/docs/r/lookml/types/view/derived_table?version=7.14&amp;lookml=new" TargetMode="External"/><Relationship Id="rId74" Type="http://schemas.openxmlformats.org/officeDocument/2006/relationships/hyperlink" Target="https://looker.com/docs/r/lookml/types/dimension/fanout_on?version=7.14&amp;lookml=new" TargetMode="External"/><Relationship Id="rId128" Type="http://schemas.openxmlformats.org/officeDocument/2006/relationships/hyperlink" Target="https://looker.com/docs/r/lookml/types/measure/order_by_field?version=7.14&amp;lookml=new" TargetMode="External"/><Relationship Id="rId335" Type="http://schemas.openxmlformats.org/officeDocument/2006/relationships/hyperlink" Target="https://looker.com/docs/r/lookml/types/named_value_format/value_format?version=7.14&amp;lookml=new" TargetMode="External"/><Relationship Id="rId5" Type="http://schemas.openxmlformats.org/officeDocument/2006/relationships/hyperlink" Target="https://looker.com/docs/r/lookml/types/model/explore?version=7.14&amp;lookml=new" TargetMode="External"/><Relationship Id="rId181" Type="http://schemas.openxmlformats.org/officeDocument/2006/relationships/hyperlink" Target="https://looker.com/docs/r/lookml/types/filter/full_suggestions?version=7.14&amp;lookml=new" TargetMode="External"/><Relationship Id="rId237" Type="http://schemas.openxmlformats.org/officeDocument/2006/relationships/hyperlink" Target="https://looker.com/docs/r/lookml/types/explore_source/expression_custom_filter?version=7.14&amp;lookml=new" TargetMode="External"/><Relationship Id="rId279" Type="http://schemas.openxmlformats.org/officeDocument/2006/relationships/hyperlink" Target="https://looker.com/docs/r/lookml/types/application/entitlements?version=7.14&amp;lookml=new" TargetMode="External"/><Relationship Id="rId43" Type="http://schemas.openxmlformats.org/officeDocument/2006/relationships/hyperlink" Target="https://looker.com/docs/r/lookml/types/explore/conditionally_filter?version=7.14&amp;lookml=new" TargetMode="External"/><Relationship Id="rId139" Type="http://schemas.openxmlformats.org/officeDocument/2006/relationships/hyperlink" Target="https://looker.com/docs/r/lookml/types/measure/hidden?version=7.14&amp;lookml=new" TargetMode="External"/><Relationship Id="rId290" Type="http://schemas.openxmlformats.org/officeDocument/2006/relationships/hyperlink" Target="https://looker.com/docs/r/lookml/types/visualization/id?version=7.14&amp;lookml=new" TargetMode="External"/><Relationship Id="rId304" Type="http://schemas.openxmlformats.org/officeDocument/2006/relationships/hyperlink" Target="https://looker.com/docs/r/lookml/types/form_param/type?version=7.14&amp;lookml=new" TargetMode="External"/><Relationship Id="rId346" Type="http://schemas.openxmlformats.org/officeDocument/2006/relationships/hyperlink" Target="https://docs.looker.com/reference/field-params/link?version=7.14&amp;lookml=new" TargetMode="External"/><Relationship Id="rId85" Type="http://schemas.openxmlformats.org/officeDocument/2006/relationships/hyperlink" Target="https://looker.com/docs/r/lookml/types/dimension/skip_drill_filter?version=7.14&amp;lookml=new" TargetMode="External"/><Relationship Id="rId150" Type="http://schemas.openxmlformats.org/officeDocument/2006/relationships/hyperlink" Target="https://looker.com/docs/r/lookml/types/dimension_group/can_filter?version=7.14&amp;lookml=new" TargetMode="External"/><Relationship Id="rId192" Type="http://schemas.openxmlformats.org/officeDocument/2006/relationships/hyperlink" Target="https://looker.com/docs/r/lookml/types/filter/label?version=7.14&amp;lookml=new" TargetMode="External"/><Relationship Id="rId206" Type="http://schemas.openxmlformats.org/officeDocument/2006/relationships/hyperlink" Target="https://looker.com/docs/r/lookml/types/parameter/required_fields?version=7.14&amp;lookml=new" TargetMode="External"/><Relationship Id="rId248" Type="http://schemas.openxmlformats.org/officeDocument/2006/relationships/hyperlink" Target="https://looker.com/docs/r/lookml/types/join/from?version=7.14&amp;lookml=new" TargetMode="External"/><Relationship Id="rId12" Type="http://schemas.openxmlformats.org/officeDocument/2006/relationships/hyperlink" Target="https://looker.com/docs/r/lookml/types/model/persist_with?version=7.14&amp;lookml=new" TargetMode="External"/><Relationship Id="rId108" Type="http://schemas.openxmlformats.org/officeDocument/2006/relationships/hyperlink" Target="https://looker.com/docs/r/lookml/types/dimension/type?version=7.14&amp;lookml=new" TargetMode="External"/><Relationship Id="rId315" Type="http://schemas.openxmlformats.org/officeDocument/2006/relationships/hyperlink" Target="https://looker.com/docs/r/lookml/types/derived_column/sql?version=7.14&amp;lookml=new" TargetMode="External"/><Relationship Id="rId357" Type="http://schemas.openxmlformats.org/officeDocument/2006/relationships/hyperlink" Target="https://docs.looker.com/reference/field-params/action?version=7.14&amp;lookml=new" TargetMode="External"/><Relationship Id="rId54" Type="http://schemas.openxmlformats.org/officeDocument/2006/relationships/hyperlink" Target="https://looker.com/docs/r/lookml/types/explore/label?version=7.14&amp;lookml=new" TargetMode="External"/><Relationship Id="rId96" Type="http://schemas.openxmlformats.org/officeDocument/2006/relationships/hyperlink" Target="https://looker.com/docs/r/lookml/types/dimension/string_datatype?version=7.14&amp;lookml=new" TargetMode="External"/><Relationship Id="rId161" Type="http://schemas.openxmlformats.org/officeDocument/2006/relationships/hyperlink" Target="https://looker.com/docs/r/lookml/types/dimension_group/sql?version=7.14&amp;lookml=new" TargetMode="External"/><Relationship Id="rId217" Type="http://schemas.openxmlformats.org/officeDocument/2006/relationships/hyperlink" Target="https://looker.com/docs/r/lookml/types/parameter/type?version=7.14&amp;lookml=new" TargetMode="External"/><Relationship Id="rId259" Type="http://schemas.openxmlformats.org/officeDocument/2006/relationships/hyperlink" Target="https://looker.com/docs/r/lookml/types/join/view_label?version=7.14&amp;lookml=new" TargetMode="External"/><Relationship Id="rId23" Type="http://schemas.openxmlformats.org/officeDocument/2006/relationships/hyperlink" Target="https://looker.com/docs/r/lookml/types/view/dimension_group?version=7.14&amp;lookml=new" TargetMode="External"/><Relationship Id="rId119" Type="http://schemas.openxmlformats.org/officeDocument/2006/relationships/hyperlink" Target="https://looker.com/docs/r/lookml/types/measure/drill_fields?version=7.14&amp;lookml=new" TargetMode="External"/><Relationship Id="rId270" Type="http://schemas.openxmlformats.org/officeDocument/2006/relationships/hyperlink" Target="https://looker.com/docs/r/lookml/types/query/pivots?version=7.14&amp;lookml=new" TargetMode="External"/><Relationship Id="rId326" Type="http://schemas.openxmlformats.org/officeDocument/2006/relationships/hyperlink" Target="https://looker.com/docs/r/lookml/types/map_layer/property_key?version=7.14&amp;lookml=new" TargetMode="External"/><Relationship Id="rId65" Type="http://schemas.openxmlformats.org/officeDocument/2006/relationships/hyperlink" Target="https://looker.com/docs/r/lookml/types/dimension/allow_fill?version=7.14&amp;lookml=new" TargetMode="External"/><Relationship Id="rId130" Type="http://schemas.openxmlformats.org/officeDocument/2006/relationships/hyperlink" Target="https://looker.com/docs/r/lookml/types/measure/precision?version=7.14&amp;lookml=new" TargetMode="External"/><Relationship Id="rId172" Type="http://schemas.openxmlformats.org/officeDocument/2006/relationships/hyperlink" Target="https://looker.com/docs/r/lookml/types/dimension_group/tags?version=7.14&amp;lookml=new" TargetMode="External"/><Relationship Id="rId228" Type="http://schemas.openxmlformats.org/officeDocument/2006/relationships/hyperlink" Target="https://looker.com/docs/r/lookml/types/derived_table/partition_keys?version=7.14&amp;lookml=new" TargetMode="External"/><Relationship Id="rId281" Type="http://schemas.openxmlformats.org/officeDocument/2006/relationships/hyperlink" Target="https://looker.com/docs/r/lookml/types/entitlements/navigation?version=7.14&amp;lookml=new" TargetMode="External"/><Relationship Id="rId337" Type="http://schemas.openxmlformats.org/officeDocument/2006/relationships/hyperlink" Target="https://looker.com/docs/r/lookml/types/set/fields?version=7.14&amp;lookml=new" TargetMode="External"/><Relationship Id="rId34" Type="http://schemas.openxmlformats.org/officeDocument/2006/relationships/hyperlink" Target="https://looker.com/docs/r/lookml/types/view/set?version=7.14&amp;lookml=new" TargetMode="External"/><Relationship Id="rId76" Type="http://schemas.openxmlformats.org/officeDocument/2006/relationships/hyperlink" Target="https://looker.com/docs/r/lookml/types/dimension/group_label?version=7.14&amp;lookml=new" TargetMode="External"/><Relationship Id="rId141" Type="http://schemas.openxmlformats.org/officeDocument/2006/relationships/hyperlink" Target="https://looker.com/docs/r/lookml/types/measure/required_access_grants?version=7.14&amp;lookml=new" TargetMode="External"/><Relationship Id="rId7" Type="http://schemas.openxmlformats.org/officeDocument/2006/relationships/hyperlink" Target="https://looker.com/docs/r/lookml/types/model/include?version=7.14&amp;lookml=new" TargetMode="External"/><Relationship Id="rId183" Type="http://schemas.openxmlformats.org/officeDocument/2006/relationships/hyperlink" Target="https://looker.com/docs/r/lookml/types/filter/group_item_label?version=7.14&amp;lookml=new" TargetMode="External"/><Relationship Id="rId239" Type="http://schemas.openxmlformats.org/officeDocument/2006/relationships/hyperlink" Target="https://looker.com/docs/r/lookml/types/explore_source/limit?version=7.14&amp;lookml=new" TargetMode="External"/><Relationship Id="rId250" Type="http://schemas.openxmlformats.org/officeDocument/2006/relationships/hyperlink" Target="https://looker.com/docs/r/lookml/types/join/relationship?version=7.14&amp;lookml=new" TargetMode="External"/><Relationship Id="rId292" Type="http://schemas.openxmlformats.org/officeDocument/2006/relationships/hyperlink" Target="https://looker.com/docs/r/lookml/types/visualization/url?version=7.14&amp;lookml=new" TargetMode="External"/><Relationship Id="rId306" Type="http://schemas.openxmlformats.org/officeDocument/2006/relationships/hyperlink" Target="https://looker.com/docs/r/lookml/types/form_param/option?version=7.14&amp;lookml=new" TargetMode="External"/><Relationship Id="rId45" Type="http://schemas.openxmlformats.org/officeDocument/2006/relationships/hyperlink" Target="https://looker.com/docs/r/lookml/types/explore/description?version=7.14&amp;lookml=new" TargetMode="External"/><Relationship Id="rId87" Type="http://schemas.openxmlformats.org/officeDocument/2006/relationships/hyperlink" Target="https://looker.com/docs/r/lookml/types/dimension/suggestions?version=7.14&amp;lookml=new" TargetMode="External"/><Relationship Id="rId110" Type="http://schemas.openxmlformats.org/officeDocument/2006/relationships/hyperlink" Target="https://looker.com/docs/r/lookml/types/dimension/suggest_explore?version=7.14&amp;lookml=new" TargetMode="External"/><Relationship Id="rId348" Type="http://schemas.openxmlformats.org/officeDocument/2006/relationships/hyperlink" Target="https://looker.com/docs/r/lookml/types/dimension_group/datatype?version=7.14&amp;lookml=new" TargetMode="External"/><Relationship Id="rId152" Type="http://schemas.openxmlformats.org/officeDocument/2006/relationships/hyperlink" Target="https://looker.com/docs/r/lookml/types/dimension_group/drill_fields?version=7.14&amp;lookml=new" TargetMode="External"/><Relationship Id="rId194" Type="http://schemas.openxmlformats.org/officeDocument/2006/relationships/hyperlink" Target="https://looker.com/docs/r/lookml/types/filter/suggestable?version=7.14&amp;lookml=new" TargetMode="External"/><Relationship Id="rId208" Type="http://schemas.openxmlformats.org/officeDocument/2006/relationships/hyperlink" Target="https://looker.com/docs/r/lookml/types/parameter/suggest_persist_for?version=7.14&amp;lookml=new" TargetMode="External"/><Relationship Id="rId261" Type="http://schemas.openxmlformats.org/officeDocument/2006/relationships/hyperlink" Target="https://looker.com/docs/r/lookml/types/aggregate_table/materialization?version=7.14&amp;lookml=new" TargetMode="External"/><Relationship Id="rId14" Type="http://schemas.openxmlformats.org/officeDocument/2006/relationships/hyperlink" Target="https://looker.com/docs/r/lookml/types/model/view?version=7.14&amp;lookml=new" TargetMode="External"/><Relationship Id="rId56" Type="http://schemas.openxmlformats.org/officeDocument/2006/relationships/hyperlink" Target="https://looker.com/docs/r/lookml/types/explore/persist_with?version=7.14&amp;lookml=new" TargetMode="External"/><Relationship Id="rId317" Type="http://schemas.openxmlformats.org/officeDocument/2006/relationships/hyperlink" Target="https://looker.com/docs/r/lookml/types/bind_filters/to_field?version=7.14&amp;lookml=new" TargetMode="External"/><Relationship Id="rId98" Type="http://schemas.openxmlformats.org/officeDocument/2006/relationships/hyperlink" Target="https://looker.com/docs/r/lookml/types/dimension/value_format?version=7.14&amp;lookml=new" TargetMode="External"/><Relationship Id="rId121" Type="http://schemas.openxmlformats.org/officeDocument/2006/relationships/hyperlink" Target="https://looker.com/docs/r/lookml/types/measure/filters?version=7.14&amp;lookml=new" TargetMode="External"/><Relationship Id="rId163" Type="http://schemas.openxmlformats.org/officeDocument/2006/relationships/hyperlink" Target="https://looker.com/docs/r/lookml/types/dimension_group/sql_start?version=7.14&amp;lookml=new" TargetMode="External"/><Relationship Id="rId219" Type="http://schemas.openxmlformats.org/officeDocument/2006/relationships/hyperlink" Target="https://looker.com/docs/r/lookml/types/parameter/suggest_explore?version=7.14&amp;lookml=new" TargetMode="External"/><Relationship Id="rId230" Type="http://schemas.openxmlformats.org/officeDocument/2006/relationships/hyperlink" Target="https://looker.com/docs/r/lookml/types/derived_table/sortkeys?version=7.14&amp;lookml=new" TargetMode="External"/><Relationship Id="rId25" Type="http://schemas.openxmlformats.org/officeDocument/2006/relationships/hyperlink" Target="https://looker.com/docs/r/lookml/types/view/extends?version=7.14&amp;lookml=new" TargetMode="External"/><Relationship Id="rId46" Type="http://schemas.openxmlformats.org/officeDocument/2006/relationships/hyperlink" Target="https://looker.com/docs/r/lookml/types/explore/group_label?version=7.14&amp;lookml=new" TargetMode="External"/><Relationship Id="rId67" Type="http://schemas.openxmlformats.org/officeDocument/2006/relationships/hyperlink" Target="https://looker.com/docs/r/lookml/types/dimension/bypass_suggest_restrictions?version=7.14&amp;lookml=new" TargetMode="External"/><Relationship Id="rId272" Type="http://schemas.openxmlformats.org/officeDocument/2006/relationships/hyperlink" Target="https://looker.com/docs/r/lookml/types/materialization/persist_for?version=7.14&amp;lookml=new" TargetMode="External"/><Relationship Id="rId293" Type="http://schemas.openxmlformats.org/officeDocument/2006/relationships/hyperlink" Target="https://looker.com/docs/r/lookml/types/visualization/sri_hash?version=7.14&amp;lookml=new" TargetMode="External"/><Relationship Id="rId307" Type="http://schemas.openxmlformats.org/officeDocument/2006/relationships/hyperlink" Target="https://looker.com/docs/r/lookml/types/form_param/required?version=7.14&amp;lookml=new" TargetMode="External"/><Relationship Id="rId328" Type="http://schemas.openxmlformats.org/officeDocument/2006/relationships/hyperlink" Target="https://looker.com/docs/r/lookml/types/map_layer/url?version=7.14&amp;lookml=new" TargetMode="External"/><Relationship Id="rId349" Type="http://schemas.openxmlformats.org/officeDocument/2006/relationships/hyperlink" Target="https://looker.com/docs/r/lookml/types/dimension_group/intervals?version=7.14&amp;lookml=new" TargetMode="External"/><Relationship Id="rId88" Type="http://schemas.openxmlformats.org/officeDocument/2006/relationships/hyperlink" Target="https://looker.com/docs/r/lookml/types/dimension/suggest_persist_for?version=7.14&amp;lookml=new" TargetMode="External"/><Relationship Id="rId111" Type="http://schemas.openxmlformats.org/officeDocument/2006/relationships/hyperlink" Target="https://looker.com/docs/r/lookml/types/dimension/view_label?version=7.14&amp;lookml=new" TargetMode="External"/><Relationship Id="rId132" Type="http://schemas.openxmlformats.org/officeDocument/2006/relationships/hyperlink" Target="https://looker.com/docs/r/lookml/types/measure/sql?version=7.14&amp;lookml=new" TargetMode="External"/><Relationship Id="rId153" Type="http://schemas.openxmlformats.org/officeDocument/2006/relationships/hyperlink" Target="https://looker.com/docs/r/lookml/types/dimension_group/fanout_on?version=7.14&amp;lookml=new" TargetMode="External"/><Relationship Id="rId174" Type="http://schemas.openxmlformats.org/officeDocument/2006/relationships/hyperlink" Target="https://looker.com/docs/r/lookml/types/dimension_group/suggest_dimension?version=7.14&amp;lookml=new" TargetMode="External"/><Relationship Id="rId195" Type="http://schemas.openxmlformats.org/officeDocument/2006/relationships/hyperlink" Target="https://looker.com/docs/r/lookml/types/filter/tags?version=7.14&amp;lookml=new" TargetMode="External"/><Relationship Id="rId209" Type="http://schemas.openxmlformats.org/officeDocument/2006/relationships/hyperlink" Target="https://looker.com/docs/r/lookml/types/parameter/alias?version=7.14&amp;lookml=new" TargetMode="External"/><Relationship Id="rId220" Type="http://schemas.openxmlformats.org/officeDocument/2006/relationships/hyperlink" Target="https://looker.com/docs/r/lookml/types/parameter/view_label?version=7.14&amp;lookml=new" TargetMode="External"/><Relationship Id="rId241" Type="http://schemas.openxmlformats.org/officeDocument/2006/relationships/hyperlink" Target="https://looker.com/docs/r/lookml/types/explore_source/derived_column?version=7.14&amp;lookml=new" TargetMode="External"/><Relationship Id="rId15" Type="http://schemas.openxmlformats.org/officeDocument/2006/relationships/hyperlink" Target="https://looker.com/docs/r/lookml/types/model/week_start_day?version=7.14&amp;lookml=new" TargetMode="External"/><Relationship Id="rId36" Type="http://schemas.openxmlformats.org/officeDocument/2006/relationships/hyperlink" Target="https://looker.com/docs/r/lookml/types/view/suggestions?version=7.14&amp;lookml=new" TargetMode="External"/><Relationship Id="rId57" Type="http://schemas.openxmlformats.org/officeDocument/2006/relationships/hyperlink" Target="https://looker.com/docs/r/lookml/types/explore/required_access_grants?version=7.14&amp;lookml=new" TargetMode="External"/><Relationship Id="rId262" Type="http://schemas.openxmlformats.org/officeDocument/2006/relationships/hyperlink" Target="https://looker.com/docs/r/lookml/types/query/dimensions?version=7.14&amp;lookml=new" TargetMode="External"/><Relationship Id="rId283" Type="http://schemas.openxmlformats.org/officeDocument/2006/relationships/hyperlink" Target="https://looker.com/docs/r/lookml/types/entitlements/allow_forms?version=7.14&amp;lookml=new" TargetMode="External"/><Relationship Id="rId318" Type="http://schemas.openxmlformats.org/officeDocument/2006/relationships/hyperlink" Target="https://looker.com/docs/r/lookml/types/map_layer/extents_json_url?version=7.14&amp;lookml=new" TargetMode="External"/><Relationship Id="rId339" Type="http://schemas.openxmlformats.org/officeDocument/2006/relationships/hyperlink" Target="https://looker.com/docs/r/lookml/types/access_grant/allowed_values?version=7.14&amp;lookml=new" TargetMode="External"/><Relationship Id="rId78" Type="http://schemas.openxmlformats.org/officeDocument/2006/relationships/hyperlink" Target="https://looker.com/docs/r/lookml/types/dimension/html?version=7.14&amp;lookml=new" TargetMode="External"/><Relationship Id="rId99" Type="http://schemas.openxmlformats.org/officeDocument/2006/relationships/hyperlink" Target="https://looker.com/docs/r/lookml/types/dimension/value_format_name?version=7.14&amp;lookml=new" TargetMode="External"/><Relationship Id="rId101" Type="http://schemas.openxmlformats.org/officeDocument/2006/relationships/hyperlink" Target="https://looker.com/docs/r/lookml/types/dimension/convert_tz?version=7.14&amp;lookml=new" TargetMode="External"/><Relationship Id="rId122" Type="http://schemas.openxmlformats.org/officeDocument/2006/relationships/hyperlink" Target="https://looker.com/docs/r/lookml/types/measure/group_label?version=7.14&amp;lookml=new" TargetMode="External"/><Relationship Id="rId143" Type="http://schemas.openxmlformats.org/officeDocument/2006/relationships/hyperlink" Target="https://looker.com/docs/r/lookml/types/measure/tags?version=7.14&amp;lookml=new" TargetMode="External"/><Relationship Id="rId164" Type="http://schemas.openxmlformats.org/officeDocument/2006/relationships/hyperlink" Target="https://looker.com/docs/r/lookml/types/dimension_group/timeframes?version=7.14&amp;lookml=new" TargetMode="External"/><Relationship Id="rId185" Type="http://schemas.openxmlformats.org/officeDocument/2006/relationships/hyperlink" Target="https://looker.com/docs/r/lookml/types/filter/suggestions?version=7.14&amp;lookml=new" TargetMode="External"/><Relationship Id="rId350" Type="http://schemas.openxmlformats.org/officeDocument/2006/relationships/hyperlink" Target="https://looker.com/docs/r/lookml/types/test/explore_source?version=7.14&amp;lookml=new" TargetMode="External"/><Relationship Id="rId9" Type="http://schemas.openxmlformats.org/officeDocument/2006/relationships/hyperlink" Target="https://looker.com/docs/r/lookml/types/model/map_layer?version=7.14&amp;lookml=new" TargetMode="External"/><Relationship Id="rId210" Type="http://schemas.openxmlformats.org/officeDocument/2006/relationships/hyperlink" Target="https://looker.com/docs/r/lookml/types/parameter/convert_tz?version=7.14&amp;lookml=new" TargetMode="External"/><Relationship Id="rId26" Type="http://schemas.openxmlformats.org/officeDocument/2006/relationships/hyperlink" Target="https://looker.com/docs/r/lookml/types/view/extension?version=7.14&amp;lookml=new" TargetMode="External"/><Relationship Id="rId231" Type="http://schemas.openxmlformats.org/officeDocument/2006/relationships/hyperlink" Target="https://looker.com/docs/r/lookml/types/derived_table/sql?version=7.14&amp;lookml=new" TargetMode="External"/><Relationship Id="rId252" Type="http://schemas.openxmlformats.org/officeDocument/2006/relationships/hyperlink" Target="https://looker.com/docs/r/lookml/types/join/required_joins?version=7.14&amp;lookml=new" TargetMode="External"/><Relationship Id="rId273" Type="http://schemas.openxmlformats.org/officeDocument/2006/relationships/hyperlink" Target="https://looker.com/docs/r/lookml/types/materialization/sql_trigger_value?version=7.14&amp;lookml=new" TargetMode="External"/><Relationship Id="rId294" Type="http://schemas.openxmlformats.org/officeDocument/2006/relationships/hyperlink" Target="https://looker.com/docs/r/lookml/types/visualization/dependencies?version=7.14&amp;lookml=new" TargetMode="External"/><Relationship Id="rId308" Type="http://schemas.openxmlformats.org/officeDocument/2006/relationships/hyperlink" Target="https://looker.com/docs/r/lookml/types/form_param/description?version=7.14&amp;lookml=new" TargetMode="External"/><Relationship Id="rId329" Type="http://schemas.openxmlformats.org/officeDocument/2006/relationships/hyperlink" Target="https://looker.com/docs/r/lookml/types/test/explore_source?version=7.14&amp;lookml=new" TargetMode="External"/><Relationship Id="rId47" Type="http://schemas.openxmlformats.org/officeDocument/2006/relationships/hyperlink" Target="https://looker.com/docs/r/lookml/types/explore/extends?version=7.14&amp;lookml=new" TargetMode="External"/><Relationship Id="rId68" Type="http://schemas.openxmlformats.org/officeDocument/2006/relationships/hyperlink" Target="https://looker.com/docs/r/lookml/types/dimension/can_filter?version=7.14&amp;lookml=new" TargetMode="External"/><Relationship Id="rId89" Type="http://schemas.openxmlformats.org/officeDocument/2006/relationships/hyperlink" Target="https://looker.com/docs/r/lookml/types/dimension/style?version=7.14&amp;lookml=new" TargetMode="External"/><Relationship Id="rId112" Type="http://schemas.openxmlformats.org/officeDocument/2006/relationships/hyperlink" Target="https://looker.com/docs/r/lookml/types/measure/action?version=7.14&amp;lookml=new" TargetMode="External"/><Relationship Id="rId133" Type="http://schemas.openxmlformats.org/officeDocument/2006/relationships/hyperlink" Target="https://looker.com/docs/r/lookml/types/measure/sql_distinct_key?version=7.14&amp;lookml=new" TargetMode="External"/><Relationship Id="rId154" Type="http://schemas.openxmlformats.org/officeDocument/2006/relationships/hyperlink" Target="https://looker.com/docs/r/lookml/types/dimension_group/full_suggestions?version=7.14&amp;lookml=new" TargetMode="External"/><Relationship Id="rId175" Type="http://schemas.openxmlformats.org/officeDocument/2006/relationships/hyperlink" Target="https://looker.com/docs/r/lookml/types/dimension_group/suggest_explore?version=7.14&amp;lookml=new" TargetMode="External"/><Relationship Id="rId340" Type="http://schemas.openxmlformats.org/officeDocument/2006/relationships/hyperlink" Target="https://looker.com/docs/r/lookml/types/access_grant/user_attribute?version=7.14&amp;lookml=new" TargetMode="External"/><Relationship Id="rId196" Type="http://schemas.openxmlformats.org/officeDocument/2006/relationships/hyperlink" Target="https://looker.com/docs/r/lookml/types/filter/type?version=7.14&amp;lookml=new" TargetMode="External"/><Relationship Id="rId200" Type="http://schemas.openxmlformats.org/officeDocument/2006/relationships/hyperlink" Target="https://looker.com/docs/r/lookml/types/parameter/allowed_value?version=7.14&amp;lookml=new" TargetMode="External"/><Relationship Id="rId16" Type="http://schemas.openxmlformats.org/officeDocument/2006/relationships/hyperlink" Target="https://looker.com/docs/r/lookml/types/manifest/local_dependency?version=7.14&amp;lookml=new" TargetMode="External"/><Relationship Id="rId221" Type="http://schemas.openxmlformats.org/officeDocument/2006/relationships/hyperlink" Target="https://looker.com/docs/r/lookml/types/derived_table/cluster_keys?version=7.14&amp;lookml=new" TargetMode="External"/><Relationship Id="rId242" Type="http://schemas.openxmlformats.org/officeDocument/2006/relationships/hyperlink" Target="https://looker.com/docs/r/lookml/types/explore_source/bind_all_filters?version=7.14&amp;lookml=new" TargetMode="External"/><Relationship Id="rId263" Type="http://schemas.openxmlformats.org/officeDocument/2006/relationships/hyperlink" Target="https://looker.com/docs/r/lookml/types/query/measures?version=7.14&amp;lookml=new" TargetMode="External"/><Relationship Id="rId284" Type="http://schemas.openxmlformats.org/officeDocument/2006/relationships/hyperlink" Target="https://looker.com/docs/r/lookml/types/entitlements/allow_same_origin?version=7.14&amp;lookml=new" TargetMode="External"/><Relationship Id="rId319" Type="http://schemas.openxmlformats.org/officeDocument/2006/relationships/hyperlink" Target="https://looker.com/docs/r/lookml/types/map_layer/feature_key?version=7.14&amp;lookml=new" TargetMode="External"/><Relationship Id="rId37" Type="http://schemas.openxmlformats.org/officeDocument/2006/relationships/hyperlink" Target="https://looker.com/docs/r/lookml/types/view/view_label?version=7.14&amp;lookml=new" TargetMode="External"/><Relationship Id="rId58" Type="http://schemas.openxmlformats.org/officeDocument/2006/relationships/hyperlink" Target="https://looker.com/docs/r/lookml/types/explore/sql_always_where?version=7.14&amp;lookml=new" TargetMode="External"/><Relationship Id="rId79" Type="http://schemas.openxmlformats.org/officeDocument/2006/relationships/hyperlink" Target="https://looker.com/docs/r/lookml/types/dimension/label_from_parameter?version=7.14&amp;lookml=new" TargetMode="External"/><Relationship Id="rId102" Type="http://schemas.openxmlformats.org/officeDocument/2006/relationships/hyperlink" Target="https://looker.com/docs/r/lookml/types/dimension/description?version=7.14&amp;lookml=new" TargetMode="External"/><Relationship Id="rId123" Type="http://schemas.openxmlformats.org/officeDocument/2006/relationships/hyperlink" Target="https://looker.com/docs/r/lookml/types/measure/group_item_label?version=7.14&amp;lookml=new" TargetMode="External"/><Relationship Id="rId144" Type="http://schemas.openxmlformats.org/officeDocument/2006/relationships/hyperlink" Target="https://looker.com/docs/r/lookml/types/measure/type?version=7.14&amp;lookml=new" TargetMode="External"/><Relationship Id="rId330" Type="http://schemas.openxmlformats.org/officeDocument/2006/relationships/hyperlink" Target="https://looker.com/docs/r/lookml/types/test/assert?version=7.14&amp;lookml=new" TargetMode="External"/><Relationship Id="rId90" Type="http://schemas.openxmlformats.org/officeDocument/2006/relationships/hyperlink" Target="https://looker.com/docs/r/lookml/types/dimension/sql?version=7.14&amp;lookml=new" TargetMode="External"/><Relationship Id="rId165" Type="http://schemas.openxmlformats.org/officeDocument/2006/relationships/hyperlink" Target="https://looker.com/docs/r/lookml/types/dimension_group/alias?version=7.14&amp;lookml=new" TargetMode="External"/><Relationship Id="rId186" Type="http://schemas.openxmlformats.org/officeDocument/2006/relationships/hyperlink" Target="https://looker.com/docs/r/lookml/types/filter/suggest_persist_for?version=7.14&amp;lookml=new" TargetMode="External"/><Relationship Id="rId351" Type="http://schemas.openxmlformats.org/officeDocument/2006/relationships/hyperlink" Target="https://looker.com/docs/r/lookml/types/map_layer/extents_json_url?version=7.14&amp;lookml=new" TargetMode="External"/><Relationship Id="rId211" Type="http://schemas.openxmlformats.org/officeDocument/2006/relationships/hyperlink" Target="https://looker.com/docs/r/lookml/types/parameter/description?version=7.14&amp;lookml=new" TargetMode="External"/><Relationship Id="rId232" Type="http://schemas.openxmlformats.org/officeDocument/2006/relationships/hyperlink" Target="https://looker.com/docs/r/lookml/types/derived_table/sql_create?version=7.14&amp;lookml=new" TargetMode="External"/><Relationship Id="rId253" Type="http://schemas.openxmlformats.org/officeDocument/2006/relationships/hyperlink" Target="https://looker.com/docs/r/lookml/types/join/sql?version=7.14&amp;lookml=new" TargetMode="External"/><Relationship Id="rId274" Type="http://schemas.openxmlformats.org/officeDocument/2006/relationships/hyperlink" Target="https://looker.com/docs/r/lookml/types/materialization/datagroup_trigger?version=7.14&amp;lookml=new" TargetMode="External"/><Relationship Id="rId295" Type="http://schemas.openxmlformats.org/officeDocument/2006/relationships/hyperlink" Target="https://looker.com/docs/r/lookml/types/visualization/file?version=7.14&amp;lookml=new" TargetMode="External"/><Relationship Id="rId309" Type="http://schemas.openxmlformats.org/officeDocument/2006/relationships/hyperlink" Target="https://looker.com/docs/r/lookml/types/form_param/default?version=7.14&amp;lookml=new" TargetMode="External"/><Relationship Id="rId27" Type="http://schemas.openxmlformats.org/officeDocument/2006/relationships/hyperlink" Target="https://looker.com/docs/r/lookml/types/view/filter?version=7.14&amp;lookml=new" TargetMode="External"/><Relationship Id="rId48" Type="http://schemas.openxmlformats.org/officeDocument/2006/relationships/hyperlink" Target="https://looker.com/docs/r/lookml/types/explore/extension?version=7.14&amp;lookml=new" TargetMode="External"/><Relationship Id="rId69" Type="http://schemas.openxmlformats.org/officeDocument/2006/relationships/hyperlink" Target="https://looker.com/docs/r/lookml/types/dimension/case?version=7.14&amp;lookml=new" TargetMode="External"/><Relationship Id="rId113" Type="http://schemas.openxmlformats.org/officeDocument/2006/relationships/hyperlink" Target="https://looker.com/docs/r/lookml/types/measure/approximate?version=7.14&amp;lookml=new" TargetMode="External"/><Relationship Id="rId134" Type="http://schemas.openxmlformats.org/officeDocument/2006/relationships/hyperlink" Target="https://looker.com/docs/r/lookml/types/measure/value_format?version=7.14&amp;lookml=new" TargetMode="External"/><Relationship Id="rId320" Type="http://schemas.openxmlformats.org/officeDocument/2006/relationships/hyperlink" Target="https://looker.com/docs/r/lookml/types/map_layer/file?version=7.14&amp;lookml=new" TargetMode="External"/><Relationship Id="rId80" Type="http://schemas.openxmlformats.org/officeDocument/2006/relationships/hyperlink" Target="https://looker.com/docs/r/lookml/types/dimension/link?version=7.14&amp;lookml=new" TargetMode="External"/><Relationship Id="rId155" Type="http://schemas.openxmlformats.org/officeDocument/2006/relationships/hyperlink" Target="https://looker.com/docs/r/lookml/types/dimension_group/group_label?version=7.14&amp;lookml=new" TargetMode="External"/><Relationship Id="rId176" Type="http://schemas.openxmlformats.org/officeDocument/2006/relationships/hyperlink" Target="https://looker.com/docs/r/lookml/types/dimension_group/view_label?version=7.14&amp;lookml=new" TargetMode="External"/><Relationship Id="rId197" Type="http://schemas.openxmlformats.org/officeDocument/2006/relationships/hyperlink" Target="https://looker.com/docs/r/lookml/types/filter/suggest_dimension?version=7.14&amp;lookml=new" TargetMode="External"/><Relationship Id="rId341" Type="http://schemas.openxmlformats.org/officeDocument/2006/relationships/hyperlink" Target="https://looker.com/docs/r/lookml/types/case/when?version=7.14&amp;lookml=new" TargetMode="External"/><Relationship Id="rId201" Type="http://schemas.openxmlformats.org/officeDocument/2006/relationships/hyperlink" Target="https://looker.com/docs/r/lookml/types/parameter/bypass_suggest_restrictions?version=7.14&amp;lookml=new" TargetMode="External"/><Relationship Id="rId222" Type="http://schemas.openxmlformats.org/officeDocument/2006/relationships/hyperlink" Target="https://looker.com/docs/r/lookml/types/derived_table/create_process?version=7.14&amp;lookml=new" TargetMode="External"/><Relationship Id="rId243" Type="http://schemas.openxmlformats.org/officeDocument/2006/relationships/hyperlink" Target="https://looker.com/docs/r/lookml/types/explore_source/bind_filters?version=7.14&amp;lookml=new" TargetMode="External"/><Relationship Id="rId264" Type="http://schemas.openxmlformats.org/officeDocument/2006/relationships/hyperlink" Target="https://looker.com/docs/r/lookml/types/query/description?version=7.14&amp;lookml=new" TargetMode="External"/><Relationship Id="rId285" Type="http://schemas.openxmlformats.org/officeDocument/2006/relationships/hyperlink" Target="https://looker.com/docs/r/lookml/types/entitlements/core_api_methods?version=7.14&amp;lookml=new" TargetMode="External"/><Relationship Id="rId17" Type="http://schemas.openxmlformats.org/officeDocument/2006/relationships/hyperlink" Target="https://looker.com/docs/r/lookml/types/manifest/remote_dependency?version=7.14&amp;lookml=new" TargetMode="External"/><Relationship Id="rId38" Type="http://schemas.openxmlformats.org/officeDocument/2006/relationships/hyperlink" Target="https://looker.com/docs/r/lookml/types/explore/access_filter?version=7.14&amp;lookml=new" TargetMode="External"/><Relationship Id="rId59" Type="http://schemas.openxmlformats.org/officeDocument/2006/relationships/hyperlink" Target="https://looker.com/docs/r/lookml/types/explore/sql_always_having?version=7.14&amp;lookml=new" TargetMode="External"/><Relationship Id="rId103" Type="http://schemas.openxmlformats.org/officeDocument/2006/relationships/hyperlink" Target="https://looker.com/docs/r/lookml/types/dimension/hidden?version=7.14&amp;lookml=new" TargetMode="External"/><Relationship Id="rId124" Type="http://schemas.openxmlformats.org/officeDocument/2006/relationships/hyperlink" Target="https://looker.com/docs/r/lookml/types/measure/html?version=7.14&amp;lookml=new" TargetMode="External"/><Relationship Id="rId310" Type="http://schemas.openxmlformats.org/officeDocument/2006/relationships/hyperlink" Target="https://looker.com/docs/r/lookml/types/option/name?version=7.14&amp;lookml=new" TargetMode="External"/><Relationship Id="rId70" Type="http://schemas.openxmlformats.org/officeDocument/2006/relationships/hyperlink" Target="https://looker.com/docs/r/lookml/types/dimension/case_sensitive?version=7.14&amp;lookml=new" TargetMode="External"/><Relationship Id="rId91" Type="http://schemas.openxmlformats.org/officeDocument/2006/relationships/hyperlink" Target="https://looker.com/docs/r/lookml/types/dimension/sql_end?version=7.14&amp;lookml=new" TargetMode="External"/><Relationship Id="rId145" Type="http://schemas.openxmlformats.org/officeDocument/2006/relationships/hyperlink" Target="https://looker.com/docs/r/lookml/types/measure/suggest_dimension?version=7.14&amp;lookml=new" TargetMode="External"/><Relationship Id="rId166" Type="http://schemas.openxmlformats.org/officeDocument/2006/relationships/hyperlink" Target="https://looker.com/docs/r/lookml/types/dimension_group/convert_tz?version=7.14&amp;lookml=new" TargetMode="External"/><Relationship Id="rId187" Type="http://schemas.openxmlformats.org/officeDocument/2006/relationships/hyperlink" Target="https://looker.com/docs/r/lookml/types/filter/sql?version=7.14&amp;lookml=new" TargetMode="External"/><Relationship Id="rId331" Type="http://schemas.openxmlformats.org/officeDocument/2006/relationships/hyperlink" Target="https://looker.com/docs/r/lookml/types/datagroup/max_cache_age?version=7.14&amp;lookml=new" TargetMode="External"/><Relationship Id="rId352" Type="http://schemas.openxmlformats.org/officeDocument/2006/relationships/hyperlink" Target="https://docs.looker.com/reference/manifest-params/application?version=7.18&amp;lookml=new" TargetMode="External"/><Relationship Id="rId1" Type="http://schemas.openxmlformats.org/officeDocument/2006/relationships/hyperlink" Target="https://looker.com/docs/r/lookml/types/model/access_grant?version=7.14&amp;lookml=new" TargetMode="External"/><Relationship Id="rId212" Type="http://schemas.openxmlformats.org/officeDocument/2006/relationships/hyperlink" Target="https://looker.com/docs/r/lookml/types/parameter/hidden?version=7.14&amp;lookml=new" TargetMode="External"/><Relationship Id="rId233" Type="http://schemas.openxmlformats.org/officeDocument/2006/relationships/hyperlink" Target="https://looker.com/docs/r/lookml/types/derived_table/sql_trigger_value?version=7.14&amp;lookml=new" TargetMode="External"/><Relationship Id="rId254" Type="http://schemas.openxmlformats.org/officeDocument/2006/relationships/hyperlink" Target="https://looker.com/docs/r/lookml/types/join/sql_foreign_key?version=7.14&amp;lookml=new" TargetMode="External"/><Relationship Id="rId28" Type="http://schemas.openxmlformats.org/officeDocument/2006/relationships/hyperlink" Target="https://looker.com/docs/r/lookml/types/view/final?version=7.14&amp;lookml=new" TargetMode="External"/><Relationship Id="rId49" Type="http://schemas.openxmlformats.org/officeDocument/2006/relationships/hyperlink" Target="https://looker.com/docs/r/lookml/types/explore/from?version=7.14&amp;lookml=new" TargetMode="External"/><Relationship Id="rId114" Type="http://schemas.openxmlformats.org/officeDocument/2006/relationships/hyperlink" Target="https://looker.com/docs/r/lookml/types/measure/approximate_threshold?version=7.14&amp;lookml=new" TargetMode="External"/><Relationship Id="rId275" Type="http://schemas.openxmlformats.org/officeDocument/2006/relationships/hyperlink" Target="https://looker.com/docs/r/lookml/types/manifest/application?version=7.14&amp;lookml=new" TargetMode="External"/><Relationship Id="rId296" Type="http://schemas.openxmlformats.org/officeDocument/2006/relationships/hyperlink" Target="https://looker.com/docs/r/lookml/types/action/label?version=7.14&amp;lookml=new" TargetMode="External"/><Relationship Id="rId300" Type="http://schemas.openxmlformats.org/officeDocument/2006/relationships/hyperlink" Target="https://looker.com/docs/r/lookml/types/action/param?version=7.14&amp;lookml=new" TargetMode="External"/><Relationship Id="rId60" Type="http://schemas.openxmlformats.org/officeDocument/2006/relationships/hyperlink" Target="https://looker.com/docs/r/lookml/types/explore/sql_table_name?version=7.14&amp;lookml=new" TargetMode="External"/><Relationship Id="rId81" Type="http://schemas.openxmlformats.org/officeDocument/2006/relationships/hyperlink" Target="https://looker.com/docs/r/lookml/types/dimension/map_layer_name?version=7.14&amp;lookml=new" TargetMode="External"/><Relationship Id="rId135" Type="http://schemas.openxmlformats.org/officeDocument/2006/relationships/hyperlink" Target="https://looker.com/docs/r/lookml/types/measure/value_format_name?version=7.14&amp;lookml=new" TargetMode="External"/><Relationship Id="rId156" Type="http://schemas.openxmlformats.org/officeDocument/2006/relationships/hyperlink" Target="https://looker.com/docs/r/lookml/types/dimension_group/group_item_label?version=7.14&amp;lookml=new" TargetMode="External"/><Relationship Id="rId177" Type="http://schemas.openxmlformats.org/officeDocument/2006/relationships/hyperlink" Target="https://looker.com/docs/r/lookml/types/filter/bypass_suggest_restrictions?version=7.14&amp;lookml=new" TargetMode="External"/><Relationship Id="rId198" Type="http://schemas.openxmlformats.org/officeDocument/2006/relationships/hyperlink" Target="https://looker.com/docs/r/lookml/types/filter/suggest_explore?version=7.14&amp;lookml=new" TargetMode="External"/><Relationship Id="rId321" Type="http://schemas.openxmlformats.org/officeDocument/2006/relationships/hyperlink" Target="https://looker.com/docs/r/lookml/types/map_layer/format?version=7.14&amp;lookml=new" TargetMode="External"/><Relationship Id="rId342" Type="http://schemas.openxmlformats.org/officeDocument/2006/relationships/hyperlink" Target="https://looker.com/docs/r/lookml/types/case/when?version=7.14&amp;lookml=new" TargetMode="External"/><Relationship Id="rId202" Type="http://schemas.openxmlformats.org/officeDocument/2006/relationships/hyperlink" Target="https://looker.com/docs/r/lookml/types/parameter/default_value?version=7.14&amp;lookml=new" TargetMode="External"/><Relationship Id="rId223" Type="http://schemas.openxmlformats.org/officeDocument/2006/relationships/hyperlink" Target="https://looker.com/docs/r/lookml/types/derived_table/datagroup_trigger?version=7.14&amp;lookml=new" TargetMode="External"/><Relationship Id="rId244" Type="http://schemas.openxmlformats.org/officeDocument/2006/relationships/hyperlink" Target="https://looker.com/docs/r/lookml/types/explore_source/sorts?version=7.14&amp;lookml=new" TargetMode="External"/><Relationship Id="rId18" Type="http://schemas.openxmlformats.org/officeDocument/2006/relationships/hyperlink" Target="https://looker.com/docs/r/lookml/types/manifest/localization_settings?version=7.14&amp;lookml=new" TargetMode="External"/><Relationship Id="rId39" Type="http://schemas.openxmlformats.org/officeDocument/2006/relationships/hyperlink" Target="https://looker.com/docs/r/lookml/types/explore/aggregate_table?version=7.14&amp;lookml=new" TargetMode="External"/><Relationship Id="rId265" Type="http://schemas.openxmlformats.org/officeDocument/2006/relationships/hyperlink" Target="https://looker.com/docs/r/lookml/types/query/group_label?version=7.14&amp;lookml=new" TargetMode="External"/><Relationship Id="rId286" Type="http://schemas.openxmlformats.org/officeDocument/2006/relationships/hyperlink" Target="https://looker.com/docs/r/lookml/types/entitlements/external_api_urls?version=7.14&amp;lookml=new" TargetMode="External"/><Relationship Id="rId50" Type="http://schemas.openxmlformats.org/officeDocument/2006/relationships/hyperlink" Target="https://looker.com/docs/r/lookml/types/explore/fields?version=7.14&amp;lookml=new" TargetMode="External"/><Relationship Id="rId104" Type="http://schemas.openxmlformats.org/officeDocument/2006/relationships/hyperlink" Target="https://looker.com/docs/r/lookml/types/dimension/label?version=7.14&amp;lookml=new" TargetMode="External"/><Relationship Id="rId125" Type="http://schemas.openxmlformats.org/officeDocument/2006/relationships/hyperlink" Target="https://looker.com/docs/r/lookml/types/measure/label_from_parameter?version=7.14&amp;lookml=new" TargetMode="External"/><Relationship Id="rId146" Type="http://schemas.openxmlformats.org/officeDocument/2006/relationships/hyperlink" Target="https://looker.com/docs/r/lookml/types/measure/suggest_explore?version=7.14&amp;lookml=new" TargetMode="External"/><Relationship Id="rId167" Type="http://schemas.openxmlformats.org/officeDocument/2006/relationships/hyperlink" Target="https://looker.com/docs/r/lookml/types/dimension_group/description?version=7.14&amp;lookml=new" TargetMode="External"/><Relationship Id="rId188" Type="http://schemas.openxmlformats.org/officeDocument/2006/relationships/hyperlink" Target="https://looker.com/docs/r/lookml/types/filter/alias?version=7.14&amp;lookml=new" TargetMode="External"/><Relationship Id="rId311" Type="http://schemas.openxmlformats.org/officeDocument/2006/relationships/hyperlink" Target="https://looker.com/docs/r/lookml/types/option/label?version=7.14&amp;lookml=new" TargetMode="External"/><Relationship Id="rId332" Type="http://schemas.openxmlformats.org/officeDocument/2006/relationships/hyperlink" Target="https://looker.com/docs/r/lookml/types/datagroup/sql_trigger?version=7.14&amp;lookml=new" TargetMode="External"/><Relationship Id="rId353" Type="http://schemas.openxmlformats.org/officeDocument/2006/relationships/hyperlink" Target="https://docs.looker.com/reference/manifest-params/application?version=7.18&amp;lookml=new" TargetMode="External"/><Relationship Id="rId71" Type="http://schemas.openxmlformats.org/officeDocument/2006/relationships/hyperlink" Target="https://looker.com/docs/r/lookml/types/dimension/datatype?version=7.14&amp;lookml=new" TargetMode="External"/><Relationship Id="rId92" Type="http://schemas.openxmlformats.org/officeDocument/2006/relationships/hyperlink" Target="https://looker.com/docs/r/lookml/types/dimension/sql_start?version=7.14&amp;lookml=new" TargetMode="External"/><Relationship Id="rId213" Type="http://schemas.openxmlformats.org/officeDocument/2006/relationships/hyperlink" Target="https://looker.com/docs/r/lookml/types/parameter/label?version=7.14&amp;lookml=new" TargetMode="External"/><Relationship Id="rId234" Type="http://schemas.openxmlformats.org/officeDocument/2006/relationships/hyperlink" Target="https://looker.com/docs/r/lookml/types/derived_table/table_compression?version=7.14&amp;lookml=new" TargetMode="External"/><Relationship Id="rId2" Type="http://schemas.openxmlformats.org/officeDocument/2006/relationships/hyperlink" Target="https://looker.com/docs/r/lookml/types/model/case_sensitive?version=7.14&amp;lookml=new" TargetMode="External"/><Relationship Id="rId29" Type="http://schemas.openxmlformats.org/officeDocument/2006/relationships/hyperlink" Target="https://looker.com/docs/r/lookml/types/view/label?version=7.14&amp;lookml=new" TargetMode="External"/><Relationship Id="rId255" Type="http://schemas.openxmlformats.org/officeDocument/2006/relationships/hyperlink" Target="https://looker.com/docs/r/lookml/types/join/sql_on?version=7.14&amp;lookml=new" TargetMode="External"/><Relationship Id="rId276" Type="http://schemas.openxmlformats.org/officeDocument/2006/relationships/hyperlink" Target="https://looker.com/docs/r/lookml/types/application/label?version=7.14&amp;lookml=new" TargetMode="External"/><Relationship Id="rId297" Type="http://schemas.openxmlformats.org/officeDocument/2006/relationships/hyperlink" Target="https://looker.com/docs/r/lookml/types/action/url?version=7.14&amp;lookml=new" TargetMode="External"/><Relationship Id="rId40" Type="http://schemas.openxmlformats.org/officeDocument/2006/relationships/hyperlink" Target="https://looker.com/docs/r/lookml/types/explore/always_filter?version=7.14&amp;lookml=new" TargetMode="External"/><Relationship Id="rId115" Type="http://schemas.openxmlformats.org/officeDocument/2006/relationships/hyperlink" Target="https://looker.com/docs/r/lookml/types/measure/allow_approximate_optimization?version=7.14&amp;lookml=new" TargetMode="External"/><Relationship Id="rId136" Type="http://schemas.openxmlformats.org/officeDocument/2006/relationships/hyperlink" Target="https://looker.com/docs/r/lookml/types/measure/alias?version=7.14&amp;lookml=new" TargetMode="External"/><Relationship Id="rId157" Type="http://schemas.openxmlformats.org/officeDocument/2006/relationships/hyperlink" Target="https://looker.com/docs/r/lookml/types/dimension_group/html?version=7.14&amp;lookml=new" TargetMode="External"/><Relationship Id="rId178" Type="http://schemas.openxmlformats.org/officeDocument/2006/relationships/hyperlink" Target="https://looker.com/docs/r/lookml/types/filter/case_sensitive?version=7.14&amp;lookml=new" TargetMode="External"/><Relationship Id="rId301" Type="http://schemas.openxmlformats.org/officeDocument/2006/relationships/hyperlink" Target="https://looker.com/docs/r/lookml/types/action/form_param?version=7.14&amp;lookml=new" TargetMode="External"/><Relationship Id="rId322" Type="http://schemas.openxmlformats.org/officeDocument/2006/relationships/hyperlink" Target="https://looker.com/docs/r/lookml/types/map_layer/label?version=7.14&amp;lookml=new" TargetMode="External"/><Relationship Id="rId343" Type="http://schemas.openxmlformats.org/officeDocument/2006/relationships/hyperlink" Target="https://docs.looker.com/reference/view-params/create_process?version=7.14&amp;lookml=new" TargetMode="External"/><Relationship Id="rId61" Type="http://schemas.openxmlformats.org/officeDocument/2006/relationships/hyperlink" Target="https://looker.com/docs/r/lookml/types/explore/tags?version=7.14&amp;lookml=new" TargetMode="External"/><Relationship Id="rId82" Type="http://schemas.openxmlformats.org/officeDocument/2006/relationships/hyperlink" Target="https://looker.com/docs/r/lookml/types/dimension/order_by_field?version=7.14&amp;lookml=new" TargetMode="External"/><Relationship Id="rId199" Type="http://schemas.openxmlformats.org/officeDocument/2006/relationships/hyperlink" Target="https://looker.com/docs/r/lookml/types/filter/view_label?version=7.14&amp;lookml=new" TargetMode="External"/><Relationship Id="rId203" Type="http://schemas.openxmlformats.org/officeDocument/2006/relationships/hyperlink" Target="https://looker.com/docs/r/lookml/types/parameter/full_suggestions?version=7.14&amp;lookml=new" TargetMode="External"/><Relationship Id="rId19" Type="http://schemas.openxmlformats.org/officeDocument/2006/relationships/hyperlink" Target="https://looker.com/docs/r/lookml/types/manifest/project_name?version=7.14&amp;lookml=new" TargetMode="External"/><Relationship Id="rId224" Type="http://schemas.openxmlformats.org/officeDocument/2006/relationships/hyperlink" Target="https://looker.com/docs/r/lookml/types/derived_table/distribution?version=7.14&amp;lookml=new" TargetMode="External"/><Relationship Id="rId245" Type="http://schemas.openxmlformats.org/officeDocument/2006/relationships/hyperlink" Target="https://looker.com/docs/r/lookml/types/explore_source/timezone?version=7.14&amp;lookml=new" TargetMode="External"/><Relationship Id="rId266" Type="http://schemas.openxmlformats.org/officeDocument/2006/relationships/hyperlink" Target="https://looker.com/docs/r/lookml/types/query/filters?version=7.14&amp;lookml=new" TargetMode="External"/><Relationship Id="rId287" Type="http://schemas.openxmlformats.org/officeDocument/2006/relationships/hyperlink" Target="https://looker.com/docs/r/lookml/types/entitlements/oauth2_urls?version=7.14&amp;lookml=new" TargetMode="External"/><Relationship Id="rId30" Type="http://schemas.openxmlformats.org/officeDocument/2006/relationships/hyperlink" Target="https://looker.com/docs/r/lookml/types/view/measure?version=7.14&amp;lookml=new" TargetMode="External"/><Relationship Id="rId105" Type="http://schemas.openxmlformats.org/officeDocument/2006/relationships/hyperlink" Target="https://looker.com/docs/r/lookml/types/dimension/required_access_grants?version=7.14&amp;lookml=new" TargetMode="External"/><Relationship Id="rId126" Type="http://schemas.openxmlformats.org/officeDocument/2006/relationships/hyperlink" Target="https://looker.com/docs/r/lookml/types/measure/link?version=7.14&amp;lookml=new" TargetMode="External"/><Relationship Id="rId147" Type="http://schemas.openxmlformats.org/officeDocument/2006/relationships/hyperlink" Target="https://looker.com/docs/r/lookml/types/measure/view_label?version=7.14&amp;lookml=new" TargetMode="External"/><Relationship Id="rId168" Type="http://schemas.openxmlformats.org/officeDocument/2006/relationships/hyperlink" Target="https://looker.com/docs/r/lookml/types/dimension_group/hidden?version=7.14&amp;lookml=new" TargetMode="External"/><Relationship Id="rId312" Type="http://schemas.openxmlformats.org/officeDocument/2006/relationships/hyperlink" Target="https://looker.com/docs/r/lookml/types/case/when?version=7.14&amp;lookml=new" TargetMode="External"/><Relationship Id="rId333" Type="http://schemas.openxmlformats.org/officeDocument/2006/relationships/hyperlink" Target="https://looker.com/docs/r/lookml/types/datagroup/label?version=7.14&amp;lookml=new" TargetMode="External"/><Relationship Id="rId354" Type="http://schemas.openxmlformats.org/officeDocument/2006/relationships/hyperlink" Target="https://looker.com/docs/r/lookml/types/explore_source/sorts?version=7.14&amp;lookml=new" TargetMode="External"/><Relationship Id="rId51" Type="http://schemas.openxmlformats.org/officeDocument/2006/relationships/hyperlink" Target="https://looker.com/docs/r/lookml/types/explore/final?version=7.14&amp;lookml=new" TargetMode="External"/><Relationship Id="rId72" Type="http://schemas.openxmlformats.org/officeDocument/2006/relationships/hyperlink" Target="https://looker.com/docs/r/lookml/types/dimension/drill_fields?version=7.14&amp;lookml=new" TargetMode="External"/><Relationship Id="rId93" Type="http://schemas.openxmlformats.org/officeDocument/2006/relationships/hyperlink" Target="https://looker.com/docs/r/lookml/types/dimension/tiers?version=7.14&amp;lookml=new" TargetMode="External"/><Relationship Id="rId189" Type="http://schemas.openxmlformats.org/officeDocument/2006/relationships/hyperlink" Target="https://looker.com/docs/r/lookml/types/filter/convert_tz?version=7.14&amp;lookml=new" TargetMode="External"/><Relationship Id="rId3" Type="http://schemas.openxmlformats.org/officeDocument/2006/relationships/hyperlink" Target="https://looker.com/docs/r/lookml/types/model/connection?version=7.14&amp;lookml=new" TargetMode="External"/><Relationship Id="rId214" Type="http://schemas.openxmlformats.org/officeDocument/2006/relationships/hyperlink" Target="https://looker.com/docs/r/lookml/types/parameter/required_access_grants?version=7.14&amp;lookml=new" TargetMode="External"/><Relationship Id="rId235" Type="http://schemas.openxmlformats.org/officeDocument/2006/relationships/hyperlink" Target="https://looker.com/docs/r/lookml/types/derived_table/table_format?version=7.14&amp;lookml=new" TargetMode="External"/><Relationship Id="rId256" Type="http://schemas.openxmlformats.org/officeDocument/2006/relationships/hyperlink" Target="https://looker.com/docs/r/lookml/types/join/sql_table_name?version=7.14&amp;lookml=new" TargetMode="External"/><Relationship Id="rId277" Type="http://schemas.openxmlformats.org/officeDocument/2006/relationships/hyperlink" Target="https://looker.com/docs/r/lookml/types/application/url?version=7.14&amp;lookml=new" TargetMode="External"/><Relationship Id="rId298" Type="http://schemas.openxmlformats.org/officeDocument/2006/relationships/hyperlink" Target="https://looker.com/docs/r/lookml/types/action/icon_url?version=7.14&amp;lookml=new" TargetMode="External"/><Relationship Id="rId116" Type="http://schemas.openxmlformats.org/officeDocument/2006/relationships/hyperlink" Target="https://looker.com/docs/r/lookml/types/measure/can_filter?version=7.14&amp;lookml=new" TargetMode="External"/><Relationship Id="rId137" Type="http://schemas.openxmlformats.org/officeDocument/2006/relationships/hyperlink" Target="https://looker.com/docs/r/lookml/types/measure/convert_tz?version=7.14&amp;lookml=new" TargetMode="External"/><Relationship Id="rId158" Type="http://schemas.openxmlformats.org/officeDocument/2006/relationships/hyperlink" Target="https://looker.com/docs/r/lookml/types/dimension_group/intervals?version=7.14&amp;lookml=new" TargetMode="External"/><Relationship Id="rId302" Type="http://schemas.openxmlformats.org/officeDocument/2006/relationships/hyperlink" Target="https://looker.com/docs/r/lookml/types/action/user_attribute_param?version=7.14&amp;lookml=new" TargetMode="External"/><Relationship Id="rId323" Type="http://schemas.openxmlformats.org/officeDocument/2006/relationships/hyperlink" Target="https://looker.com/docs/r/lookml/types/map_layer/max_zoom_level?version=7.14&amp;lookml=new" TargetMode="External"/><Relationship Id="rId344" Type="http://schemas.openxmlformats.org/officeDocument/2006/relationships/hyperlink" Target="https://looker.com/docs/r/lookml/types/remote_dependency/override_constant?version=7.14&amp;lookml=new" TargetMode="External"/><Relationship Id="rId20" Type="http://schemas.openxmlformats.org/officeDocument/2006/relationships/hyperlink" Target="https://looker.com/docs/r/lookml/types/manifest/constant?version=7.14&amp;lookml=new" TargetMode="External"/><Relationship Id="rId41" Type="http://schemas.openxmlformats.org/officeDocument/2006/relationships/hyperlink" Target="https://looker.com/docs/r/lookml/types/explore/always_join?version=7.14&amp;lookml=new" TargetMode="External"/><Relationship Id="rId62" Type="http://schemas.openxmlformats.org/officeDocument/2006/relationships/hyperlink" Target="https://looker.com/docs/r/lookml/types/explore/view_label?version=7.14&amp;lookml=new" TargetMode="External"/><Relationship Id="rId83" Type="http://schemas.openxmlformats.org/officeDocument/2006/relationships/hyperlink" Target="https://looker.com/docs/r/lookml/types/dimension/primary_key?version=7.14&amp;lookml=new" TargetMode="External"/><Relationship Id="rId179" Type="http://schemas.openxmlformats.org/officeDocument/2006/relationships/hyperlink" Target="https://looker.com/docs/r/lookml/types/filter/datatype?version=7.14&amp;lookml=new" TargetMode="External"/><Relationship Id="rId190" Type="http://schemas.openxmlformats.org/officeDocument/2006/relationships/hyperlink" Target="https://looker.com/docs/r/lookml/types/filter/description?version=7.14&amp;lookml=new" TargetMode="External"/><Relationship Id="rId204" Type="http://schemas.openxmlformats.org/officeDocument/2006/relationships/hyperlink" Target="https://looker.com/docs/r/lookml/types/parameter/group_label?version=7.14&amp;lookml=new" TargetMode="External"/><Relationship Id="rId225" Type="http://schemas.openxmlformats.org/officeDocument/2006/relationships/hyperlink" Target="https://looker.com/docs/r/lookml/types/derived_table/distribution_style?version=7.14&amp;lookml=new" TargetMode="External"/><Relationship Id="rId246" Type="http://schemas.openxmlformats.org/officeDocument/2006/relationships/hyperlink" Target="https://looker.com/docs/r/lookml/types/join/fields?version=7.14&amp;lookml=new" TargetMode="External"/><Relationship Id="rId267" Type="http://schemas.openxmlformats.org/officeDocument/2006/relationships/hyperlink" Target="https://looker.com/docs/r/lookml/types/query/limit?version=7.14&amp;lookml=new" TargetMode="External"/><Relationship Id="rId288" Type="http://schemas.openxmlformats.org/officeDocument/2006/relationships/hyperlink" Target="https://looker.com/docs/r/lookml/types/entitlements/global_user_attributes?version=7.14&amp;lookml=new" TargetMode="External"/><Relationship Id="rId106" Type="http://schemas.openxmlformats.org/officeDocument/2006/relationships/hyperlink" Target="https://looker.com/docs/r/lookml/types/dimension/suggestable?version=7.14&amp;lookml=new" TargetMode="External"/><Relationship Id="rId127" Type="http://schemas.openxmlformats.org/officeDocument/2006/relationships/hyperlink" Target="https://looker.com/docs/r/lookml/types/measure/list_field?version=7.14&amp;lookml=new" TargetMode="External"/><Relationship Id="rId313" Type="http://schemas.openxmlformats.org/officeDocument/2006/relationships/hyperlink" Target="https://looker.com/docs/r/lookml/types/case/else?version=7.14&amp;lookml=new" TargetMode="External"/><Relationship Id="rId10" Type="http://schemas.openxmlformats.org/officeDocument/2006/relationships/hyperlink" Target="https://looker.com/docs/r/lookml/types/model/named_value_format?version=7.14&amp;lookml=new" TargetMode="External"/><Relationship Id="rId31" Type="http://schemas.openxmlformats.org/officeDocument/2006/relationships/hyperlink" Target="https://looker.com/docs/r/lookml/types/view/parameter?version=7.14&amp;lookml=new" TargetMode="External"/><Relationship Id="rId52" Type="http://schemas.openxmlformats.org/officeDocument/2006/relationships/hyperlink" Target="https://looker.com/docs/r/lookml/types/explore/hidden?version=7.14&amp;lookml=new" TargetMode="External"/><Relationship Id="rId73" Type="http://schemas.openxmlformats.org/officeDocument/2006/relationships/hyperlink" Target="https://looker.com/docs/r/lookml/types/dimension/end_location_field?version=7.14&amp;lookml=new" TargetMode="External"/><Relationship Id="rId94" Type="http://schemas.openxmlformats.org/officeDocument/2006/relationships/hyperlink" Target="https://looker.com/docs/r/lookml/types/dimension/sql_longitude?version=7.14&amp;lookml=new" TargetMode="External"/><Relationship Id="rId148" Type="http://schemas.openxmlformats.org/officeDocument/2006/relationships/hyperlink" Target="https://looker.com/docs/r/lookml/types/dimension_group/allow_fill?version=7.14&amp;lookml=new" TargetMode="External"/><Relationship Id="rId169" Type="http://schemas.openxmlformats.org/officeDocument/2006/relationships/hyperlink" Target="https://looker.com/docs/r/lookml/types/dimension_group/label?version=7.14&amp;lookml=new" TargetMode="External"/><Relationship Id="rId334" Type="http://schemas.openxmlformats.org/officeDocument/2006/relationships/hyperlink" Target="https://looker.com/docs/r/lookml/types/datagroup/description?version=7.14&amp;lookml=new" TargetMode="External"/><Relationship Id="rId355" Type="http://schemas.openxmlformats.org/officeDocument/2006/relationships/hyperlink" Target="https://looker.com/docs/r/lookml/types/action/param?version=7.14&amp;lookml=new" TargetMode="External"/><Relationship Id="rId4" Type="http://schemas.openxmlformats.org/officeDocument/2006/relationships/hyperlink" Target="https://looker.com/docs/r/lookml/types/model/datagroup?version=7.14&amp;lookml=new" TargetMode="External"/><Relationship Id="rId180" Type="http://schemas.openxmlformats.org/officeDocument/2006/relationships/hyperlink" Target="https://looker.com/docs/r/lookml/types/filter/default_value?version=7.14&amp;lookml=new" TargetMode="External"/><Relationship Id="rId215" Type="http://schemas.openxmlformats.org/officeDocument/2006/relationships/hyperlink" Target="https://looker.com/docs/r/lookml/types/parameter/suggestable?version=7.14&amp;lookml=new" TargetMode="External"/><Relationship Id="rId236" Type="http://schemas.openxmlformats.org/officeDocument/2006/relationships/hyperlink" Target="https://looker.com/docs/r/lookml/types/derived_table/publish_as_db_view?version=7.14&amp;lookml=new" TargetMode="External"/><Relationship Id="rId257" Type="http://schemas.openxmlformats.org/officeDocument/2006/relationships/hyperlink" Target="https://looker.com/docs/r/lookml/types/join/sql_where?version=7.14&amp;lookml=new" TargetMode="External"/><Relationship Id="rId278" Type="http://schemas.openxmlformats.org/officeDocument/2006/relationships/hyperlink" Target="https://looker.com/docs/r/lookml/types/application/file?version=7.14&amp;lookml=new" TargetMode="External"/><Relationship Id="rId303" Type="http://schemas.openxmlformats.org/officeDocument/2006/relationships/hyperlink" Target="https://looker.com/docs/r/lookml/types/form_param/name?version=7.14&amp;lookml=new" TargetMode="External"/><Relationship Id="rId42" Type="http://schemas.openxmlformats.org/officeDocument/2006/relationships/hyperlink" Target="https://looker.com/docs/r/lookml/types/explore/cancel_grouping_fields?version=7.14&amp;lookml=new" TargetMode="External"/><Relationship Id="rId84" Type="http://schemas.openxmlformats.org/officeDocument/2006/relationships/hyperlink" Target="https://looker.com/docs/r/lookml/types/dimension/required_fields?version=7.14&amp;lookml=new" TargetMode="External"/><Relationship Id="rId138" Type="http://schemas.openxmlformats.org/officeDocument/2006/relationships/hyperlink" Target="https://looker.com/docs/r/lookml/types/measure/description?version=7.14&amp;lookml=new" TargetMode="External"/><Relationship Id="rId345" Type="http://schemas.openxmlformats.org/officeDocument/2006/relationships/hyperlink" Target="https://docs.looker.com/data-modeling/learning-lookml/importing-projects?version=7.14&amp;lookml=new" TargetMode="External"/><Relationship Id="rId191" Type="http://schemas.openxmlformats.org/officeDocument/2006/relationships/hyperlink" Target="https://looker.com/docs/r/lookml/types/filter/hidden?version=7.14&amp;lookml=new" TargetMode="External"/><Relationship Id="rId205" Type="http://schemas.openxmlformats.org/officeDocument/2006/relationships/hyperlink" Target="https://looker.com/docs/r/lookml/types/parameter/group_item_label?version=7.14&amp;lookml=new" TargetMode="External"/><Relationship Id="rId247" Type="http://schemas.openxmlformats.org/officeDocument/2006/relationships/hyperlink" Target="https://looker.com/docs/r/lookml/types/join/foreign_key?version=7.14&amp;lookml=new" TargetMode="External"/><Relationship Id="rId107" Type="http://schemas.openxmlformats.org/officeDocument/2006/relationships/hyperlink" Target="https://looker.com/docs/r/lookml/types/dimension/tags?version=7.14&amp;lookml=new" TargetMode="External"/><Relationship Id="rId289" Type="http://schemas.openxmlformats.org/officeDocument/2006/relationships/hyperlink" Target="https://looker.com/docs/r/lookml/types/entitlements/scoped_user_attributes?version=7.14&amp;lookml=new" TargetMode="External"/><Relationship Id="rId11" Type="http://schemas.openxmlformats.org/officeDocument/2006/relationships/hyperlink" Target="https://looker.com/docs/r/lookml/types/model/persist_for?version=7.14&amp;lookml=new" TargetMode="External"/><Relationship Id="rId53" Type="http://schemas.openxmlformats.org/officeDocument/2006/relationships/hyperlink" Target="https://looker.com/docs/r/lookml/types/explore/join?version=7.14&amp;lookml=new" TargetMode="External"/><Relationship Id="rId149" Type="http://schemas.openxmlformats.org/officeDocument/2006/relationships/hyperlink" Target="https://looker.com/docs/r/lookml/types/dimension_group/bypass_suggest_restrictions?version=7.14&amp;lookml=new" TargetMode="External"/><Relationship Id="rId314" Type="http://schemas.openxmlformats.org/officeDocument/2006/relationships/hyperlink" Target="https://looker.com/docs/r/lookml/types/column/field?version=7.14&amp;lookml=new" TargetMode="External"/><Relationship Id="rId356" Type="http://schemas.openxmlformats.org/officeDocument/2006/relationships/hyperlink" Target="https://docs.looker.com/reference/field-params/action?version=7.14&amp;lookml=new" TargetMode="External"/><Relationship Id="rId95" Type="http://schemas.openxmlformats.org/officeDocument/2006/relationships/hyperlink" Target="https://looker.com/docs/r/lookml/types/dimension/sql_latitude?version=7.14&amp;lookml=new" TargetMode="External"/><Relationship Id="rId160" Type="http://schemas.openxmlformats.org/officeDocument/2006/relationships/hyperlink" Target="https://looker.com/docs/r/lookml/types/dimension_group/skip_drill_filter?version=7.14&amp;lookml=new" TargetMode="External"/><Relationship Id="rId216" Type="http://schemas.openxmlformats.org/officeDocument/2006/relationships/hyperlink" Target="https://looker.com/docs/r/lookml/types/parameter/tags?version=7.14&amp;lookml=new" TargetMode="External"/><Relationship Id="rId258" Type="http://schemas.openxmlformats.org/officeDocument/2006/relationships/hyperlink" Target="https://looker.com/docs/r/lookml/types/join/type?version=7.14&amp;lookml=new" TargetMode="External"/><Relationship Id="rId22" Type="http://schemas.openxmlformats.org/officeDocument/2006/relationships/hyperlink" Target="https://looker.com/docs/r/lookml/types/view/dimension?version=7.14&amp;lookml=new" TargetMode="External"/><Relationship Id="rId64" Type="http://schemas.openxmlformats.org/officeDocument/2006/relationships/hyperlink" Target="https://looker.com/docs/r/lookml/types/dimension/action?version=7.14&amp;lookml=new" TargetMode="External"/><Relationship Id="rId118" Type="http://schemas.openxmlformats.org/officeDocument/2006/relationships/hyperlink" Target="https://looker.com/docs/r/lookml/types/measure/direction?version=7.14&amp;lookml=new" TargetMode="External"/><Relationship Id="rId325" Type="http://schemas.openxmlformats.org/officeDocument/2006/relationships/hyperlink" Target="https://looker.com/docs/r/lookml/types/map_layer/projection?version=7.14&amp;lookml=new" TargetMode="External"/><Relationship Id="rId171" Type="http://schemas.openxmlformats.org/officeDocument/2006/relationships/hyperlink" Target="https://looker.com/docs/r/lookml/types/dimension_group/suggestable?version=7.14&amp;lookml=new" TargetMode="External"/><Relationship Id="rId227" Type="http://schemas.openxmlformats.org/officeDocument/2006/relationships/hyperlink" Target="https://looker.com/docs/r/lookml/types/derived_table/indexes?version=7.14&amp;lookml=new" TargetMode="External"/><Relationship Id="rId269" Type="http://schemas.openxmlformats.org/officeDocument/2006/relationships/hyperlink" Target="https://looker.com/docs/r/lookml/types/query/label?version=7.14&amp;lookml=new" TargetMode="External"/><Relationship Id="rId33" Type="http://schemas.openxmlformats.org/officeDocument/2006/relationships/hyperlink" Target="https://looker.com/docs/r/lookml/types/view/required_access_grants?version=7.14&amp;lookml=new" TargetMode="External"/><Relationship Id="rId129" Type="http://schemas.openxmlformats.org/officeDocument/2006/relationships/hyperlink" Target="https://looker.com/docs/r/lookml/types/measure/percentile?version=7.14&amp;lookml=new" TargetMode="External"/><Relationship Id="rId280" Type="http://schemas.openxmlformats.org/officeDocument/2006/relationships/hyperlink" Target="https://looker.com/docs/r/lookml/types/entitlements/local_storage?version=7.14&amp;lookml=new" TargetMode="External"/><Relationship Id="rId336" Type="http://schemas.openxmlformats.org/officeDocument/2006/relationships/hyperlink" Target="https://looker.com/docs/r/lookml/types/named_value_format/strict_value_format?version=7.14&amp;lookml=new" TargetMode="External"/><Relationship Id="rId75" Type="http://schemas.openxmlformats.org/officeDocument/2006/relationships/hyperlink" Target="https://looker.com/docs/r/lookml/types/dimension/full_suggestions?version=7.14&amp;lookml=new" TargetMode="External"/><Relationship Id="rId140" Type="http://schemas.openxmlformats.org/officeDocument/2006/relationships/hyperlink" Target="https://looker.com/docs/r/lookml/types/measure/label?version=7.14&amp;lookml=new" TargetMode="External"/><Relationship Id="rId182" Type="http://schemas.openxmlformats.org/officeDocument/2006/relationships/hyperlink" Target="https://looker.com/docs/r/lookml/types/filter/group_label?version=7.14&amp;lookml=new" TargetMode="External"/><Relationship Id="rId6" Type="http://schemas.openxmlformats.org/officeDocument/2006/relationships/hyperlink" Target="https://looker.com/docs/r/lookml/types/model/fiscal_month_offset?version=7.14&amp;lookml=new" TargetMode="External"/><Relationship Id="rId238" Type="http://schemas.openxmlformats.org/officeDocument/2006/relationships/hyperlink" Target="https://looker.com/docs/r/lookml/types/explore_source/filters?version=7.14&amp;lookml=new" TargetMode="External"/><Relationship Id="rId291" Type="http://schemas.openxmlformats.org/officeDocument/2006/relationships/hyperlink" Target="https://looker.com/docs/r/lookml/types/visualization/label?version=7.14&amp;lookml=new" TargetMode="External"/><Relationship Id="rId305" Type="http://schemas.openxmlformats.org/officeDocument/2006/relationships/hyperlink" Target="https://looker.com/docs/r/lookml/types/form_param/label?version=7.14&amp;lookml=new" TargetMode="External"/><Relationship Id="rId347" Type="http://schemas.openxmlformats.org/officeDocument/2006/relationships/hyperlink" Target="https://docs.looker.com/reference/field-params/link?version=7.14&amp;lookml=new" TargetMode="External"/><Relationship Id="rId44" Type="http://schemas.openxmlformats.org/officeDocument/2006/relationships/hyperlink" Target="https://looker.com/docs/r/lookml/types/explore/case_sensitive?version=7.14&amp;lookml=new" TargetMode="External"/><Relationship Id="rId86" Type="http://schemas.openxmlformats.org/officeDocument/2006/relationships/hyperlink" Target="https://looker.com/docs/r/lookml/types/dimension/start_location_field?version=7.14&amp;lookml=new" TargetMode="External"/><Relationship Id="rId151" Type="http://schemas.openxmlformats.org/officeDocument/2006/relationships/hyperlink" Target="https://looker.com/docs/r/lookml/types/dimension_group/datatype?version=7.14&amp;lookml=new" TargetMode="External"/><Relationship Id="rId193" Type="http://schemas.openxmlformats.org/officeDocument/2006/relationships/hyperlink" Target="https://looker.com/docs/r/lookml/types/filter/required_access_grants?version=7.14&amp;lookml=new" TargetMode="External"/><Relationship Id="rId207" Type="http://schemas.openxmlformats.org/officeDocument/2006/relationships/hyperlink" Target="https://looker.com/docs/r/lookml/types/parameter/suggestions?version=7.14&amp;lookml=new" TargetMode="External"/><Relationship Id="rId249" Type="http://schemas.openxmlformats.org/officeDocument/2006/relationships/hyperlink" Target="https://looker.com/docs/r/lookml/types/join/outer_only?version=7.14&amp;lookml=new" TargetMode="External"/><Relationship Id="rId13" Type="http://schemas.openxmlformats.org/officeDocument/2006/relationships/hyperlink" Target="https://looker.com/docs/r/lookml/types/model/test?version=7.14&amp;lookml=new" TargetMode="External"/><Relationship Id="rId109" Type="http://schemas.openxmlformats.org/officeDocument/2006/relationships/hyperlink" Target="https://looker.com/docs/r/lookml/types/dimension/suggest_dimension?version=7.14&amp;lookml=new" TargetMode="External"/><Relationship Id="rId260" Type="http://schemas.openxmlformats.org/officeDocument/2006/relationships/hyperlink" Target="https://looker.com/docs/r/lookml/types/aggregate_table/query?version=7.14&amp;lookml=new" TargetMode="External"/><Relationship Id="rId316" Type="http://schemas.openxmlformats.org/officeDocument/2006/relationships/hyperlink" Target="https://looker.com/docs/r/lookml/types/bind_filters/from_field?version=7.14&amp;lookml=new" TargetMode="External"/><Relationship Id="rId55" Type="http://schemas.openxmlformats.org/officeDocument/2006/relationships/hyperlink" Target="https://looker.com/docs/r/lookml/types/explore/persist_for?version=7.14&amp;lookml=new" TargetMode="External"/><Relationship Id="rId97" Type="http://schemas.openxmlformats.org/officeDocument/2006/relationships/hyperlink" Target="https://looker.com/docs/r/lookml/types/dimension/units?version=7.14&amp;lookml=new" TargetMode="External"/><Relationship Id="rId120" Type="http://schemas.openxmlformats.org/officeDocument/2006/relationships/hyperlink" Target="https://looker.com/docs/r/lookml/types/measure/fanout_on?version=7.14&amp;lookml=new" TargetMode="External"/><Relationship Id="rId162" Type="http://schemas.openxmlformats.org/officeDocument/2006/relationships/hyperlink" Target="https://looker.com/docs/r/lookml/types/dimension_group/sql_end?version=7.14&amp;lookml=new" TargetMode="External"/><Relationship Id="rId218" Type="http://schemas.openxmlformats.org/officeDocument/2006/relationships/hyperlink" Target="https://looker.com/docs/r/lookml/types/parameter/suggest_dimension?version=7.14&amp;lookml=new" TargetMode="External"/><Relationship Id="rId271" Type="http://schemas.openxmlformats.org/officeDocument/2006/relationships/hyperlink" Target="https://looker.com/docs/r/lookml/types/query/timezone?version=7.14&amp;lookml=new" TargetMode="External"/><Relationship Id="rId24" Type="http://schemas.openxmlformats.org/officeDocument/2006/relationships/hyperlink" Target="https://looker.com/docs/r/lookml/types/view/drill_fields?version=7.14&amp;lookml=new" TargetMode="External"/><Relationship Id="rId66" Type="http://schemas.openxmlformats.org/officeDocument/2006/relationships/hyperlink" Target="https://looker.com/docs/r/lookml/types/dimension/alpha_sort?version=7.14&amp;lookml=new" TargetMode="External"/><Relationship Id="rId131" Type="http://schemas.openxmlformats.org/officeDocument/2006/relationships/hyperlink" Target="https://looker.com/docs/r/lookml/types/measure/required_fields?version=7.14&amp;lookml=new" TargetMode="External"/><Relationship Id="rId327" Type="http://schemas.openxmlformats.org/officeDocument/2006/relationships/hyperlink" Target="https://looker.com/docs/r/lookml/types/map_layer/property_label_key?version=7.14&amp;lookml=new" TargetMode="External"/><Relationship Id="rId173" Type="http://schemas.openxmlformats.org/officeDocument/2006/relationships/hyperlink" Target="https://looker.com/docs/r/lookml/types/dimension_group/type?version=7.14&amp;lookml=new" TargetMode="External"/><Relationship Id="rId229" Type="http://schemas.openxmlformats.org/officeDocument/2006/relationships/hyperlink" Target="https://looker.com/docs/r/lookml/types/derived_table/persist_for?version=7.14&amp;lookml=new" TargetMode="External"/><Relationship Id="rId240" Type="http://schemas.openxmlformats.org/officeDocument/2006/relationships/hyperlink" Target="https://looker.com/docs/r/lookml/types/explore_source/column?version=7.14&amp;lookml=new" TargetMode="External"/><Relationship Id="rId35" Type="http://schemas.openxmlformats.org/officeDocument/2006/relationships/hyperlink" Target="https://looker.com/docs/r/lookml/types/view/sql_table_name?version=7.14&amp;lookml=new" TargetMode="External"/><Relationship Id="rId77" Type="http://schemas.openxmlformats.org/officeDocument/2006/relationships/hyperlink" Target="https://looker.com/docs/r/lookml/types/dimension/group_item_label?version=7.14&amp;lookml=new" TargetMode="External"/><Relationship Id="rId100" Type="http://schemas.openxmlformats.org/officeDocument/2006/relationships/hyperlink" Target="https://looker.com/docs/r/lookml/types/dimension/alias?version=7.14&amp;lookml=new" TargetMode="External"/><Relationship Id="rId282" Type="http://schemas.openxmlformats.org/officeDocument/2006/relationships/hyperlink" Target="https://looker.com/docs/r/lookml/types/entitlements/new_window?version=7.14&amp;lookml=new" TargetMode="External"/><Relationship Id="rId338" Type="http://schemas.openxmlformats.org/officeDocument/2006/relationships/hyperlink" Target="https://looker.com/docs/r/lookml/types/dimension/action?version=7.14&amp;lookml=new" TargetMode="External"/><Relationship Id="rId8" Type="http://schemas.openxmlformats.org/officeDocument/2006/relationships/hyperlink" Target="https://looker.com/docs/r/lookml/types/model/label?version=7.14&amp;lookml=new" TargetMode="External"/><Relationship Id="rId142" Type="http://schemas.openxmlformats.org/officeDocument/2006/relationships/hyperlink" Target="https://looker.com/docs/r/lookml/types/measure/suggestable?version=7.14&amp;lookml=new" TargetMode="External"/><Relationship Id="rId184" Type="http://schemas.openxmlformats.org/officeDocument/2006/relationships/hyperlink" Target="https://looker.com/docs/r/lookml/types/filter/required_fields?version=7.14&amp;lookml=new" TargetMode="External"/><Relationship Id="rId251" Type="http://schemas.openxmlformats.org/officeDocument/2006/relationships/hyperlink" Target="https://looker.com/docs/r/lookml/types/join/required_access_grants?version=7.14&amp;lookml=n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2437E-35DD-2048-97D8-7DAF94C23CAC}">
  <sheetPr codeName="Sheet7" filterMode="1">
    <outlinePr summaryBelow="0" summaryRight="0"/>
  </sheetPr>
  <dimension ref="A1:T409"/>
  <sheetViews>
    <sheetView tabSelected="1" zoomScaleNormal="130" workbookViewId="0">
      <pane ySplit="1" topLeftCell="A2" activePane="bottomLeft" state="frozen"/>
      <selection pane="bottomLeft" activeCell="F410" sqref="F410"/>
    </sheetView>
  </sheetViews>
  <sheetFormatPr baseColWidth="10" defaultColWidth="14.5" defaultRowHeight="15" customHeight="1" x14ac:dyDescent="0.15"/>
  <cols>
    <col min="1" max="1" width="6" style="4" customWidth="1"/>
    <col min="2" max="2" width="36.33203125" style="4" customWidth="1"/>
    <col min="3" max="3" width="18.5" style="4" customWidth="1"/>
    <col min="4" max="4" width="23.6640625" style="4" customWidth="1"/>
    <col min="5" max="5" width="23.6640625" style="4" bestFit="1" customWidth="1"/>
    <col min="6" max="6" width="7.6640625" style="4" customWidth="1"/>
    <col min="7" max="7" width="14.1640625" style="4" customWidth="1"/>
    <col min="8" max="8" width="93.83203125" style="4" customWidth="1"/>
    <col min="9" max="9" width="19.5" style="4" customWidth="1"/>
    <col min="10" max="11" width="20.5" style="4" customWidth="1"/>
    <col min="12" max="12" width="55.83203125" customWidth="1"/>
    <col min="13" max="13" width="195.6640625" customWidth="1"/>
    <col min="14" max="16" width="30.83203125" customWidth="1"/>
    <col min="17" max="17" width="21.33203125" customWidth="1"/>
    <col min="18" max="18" width="82.83203125" customWidth="1"/>
    <col min="19" max="19" width="32.83203125" customWidth="1"/>
    <col min="20" max="20" width="255.83203125" customWidth="1"/>
    <col min="21" max="21" width="7.6640625" bestFit="1" customWidth="1"/>
  </cols>
  <sheetData>
    <row r="1" spans="1:20" ht="15" customHeight="1" x14ac:dyDescent="0.15">
      <c r="A1" s="2" t="s">
        <v>122</v>
      </c>
      <c r="B1" s="2" t="s">
        <v>116</v>
      </c>
      <c r="C1" s="2" t="s">
        <v>117</v>
      </c>
      <c r="D1" s="2" t="s">
        <v>613</v>
      </c>
      <c r="E1" s="2" t="s">
        <v>534</v>
      </c>
      <c r="F1" s="2" t="s">
        <v>609</v>
      </c>
      <c r="G1" s="2" t="s">
        <v>118</v>
      </c>
      <c r="H1" s="2" t="s">
        <v>119</v>
      </c>
      <c r="I1" s="2" t="s">
        <v>120</v>
      </c>
      <c r="J1" s="2" t="s">
        <v>121</v>
      </c>
      <c r="K1" s="2" t="s">
        <v>605</v>
      </c>
      <c r="L1" s="2" t="s">
        <v>606</v>
      </c>
    </row>
    <row r="2" spans="1:20" ht="15" hidden="1" customHeight="1" x14ac:dyDescent="0.15">
      <c r="A2" s="7">
        <v>1</v>
      </c>
      <c r="B2" s="6" t="s">
        <v>473</v>
      </c>
      <c r="C2" s="6" t="s">
        <v>111</v>
      </c>
      <c r="D2" s="4" t="s">
        <v>95</v>
      </c>
      <c r="E2" s="4" t="s">
        <v>592</v>
      </c>
      <c r="F2" s="4">
        <v>0</v>
      </c>
      <c r="H2" s="4" t="s">
        <v>137</v>
      </c>
      <c r="I2" s="4" t="b">
        <v>0</v>
      </c>
      <c r="K2" s="4" t="b">
        <f>IF(COUNTIF($B$2:$B2,B2)&gt;1,TRUE,FALSE)</f>
        <v>0</v>
      </c>
      <c r="L2" t="str">
        <f t="shared" ref="L2:L65" si="0">IF(
K2,"p["""&amp;B2&amp;"""].update({"&amp;""""&amp;C2&amp;""":{"&amp;_xlfn.CONCAT(N2:T2)&amp;"}})","p.update("&amp;M2&amp;")"
)</f>
        <v>p.update({"access_grant":{"model":{"type":"named_construct","subtype":"identifier","indent":0,"default_value":"","docs_url":"https://looker.com/docs/r/lookml/types/model/access_grant?version=7.14&amp;lookml=new","has_allowed_values":False,"allowed_values":""}}})</v>
      </c>
      <c r="M2" t="str">
        <f t="shared" ref="M2:M65" si="1">"{"&amp;""""&amp;B2
&amp;""":{"&amp;""""&amp;C2&amp;""":{"&amp;_xlfn.CONCAT(N2:T2)&amp;"}}}"</f>
        <v>{"access_grant":{"model":{"type":"named_construct","subtype":"identifier","indent":0,"default_value":"","docs_url":"https://looker.com/docs/r/lookml/types/model/access_grant?version=7.14&amp;lookml=new","has_allowed_values":False,"allowed_values":""}}}</v>
      </c>
      <c r="N2" t="str">
        <f>"""type"":"&amp;""""&amp;E2&amp;""","</f>
        <v>"type":"named_construct",</v>
      </c>
      <c r="O2" t="str">
        <f>"""subtype"":"&amp;""""&amp;D2&amp;""","</f>
        <v>"subtype":"identifier",</v>
      </c>
      <c r="P2" t="str">
        <f>"""indent"":"&amp;F2&amp;","</f>
        <v>"indent":0,</v>
      </c>
      <c r="Q2" t="str">
        <f t="shared" ref="Q2:Q33" si="2">"""default_value"":"&amp;IF(G2="""""",""""",",IF(LEFT(G2,1)="[",G2,""""&amp;G2&amp;"""")&amp;",")</f>
        <v>"default_value":"",</v>
      </c>
      <c r="R2" t="str">
        <f t="shared" ref="R2:R33" si="3">"""docs_url"":"&amp;""""&amp;H2&amp;""","</f>
        <v>"docs_url":"https://looker.com/docs/r/lookml/types/model/access_grant?version=7.14&amp;lookml=new",</v>
      </c>
      <c r="S2" t="str">
        <f>"""has_allowed_values"":"&amp;IF(I2,"True,","False"&amp;",")</f>
        <v>"has_allowed_values":False,</v>
      </c>
      <c r="T2" t="str">
        <f>"""allowed_values"":"&amp;IF(J2&lt;&gt;"",J2,"""""")</f>
        <v>"allowed_values":""</v>
      </c>
    </row>
    <row r="3" spans="1:20" ht="15" hidden="1" customHeight="1" x14ac:dyDescent="0.15">
      <c r="A3" s="7">
        <v>2</v>
      </c>
      <c r="B3" s="6" t="s">
        <v>8</v>
      </c>
      <c r="C3" s="6" t="s">
        <v>111</v>
      </c>
      <c r="D3" s="4" t="s">
        <v>568</v>
      </c>
      <c r="E3" s="4" t="s">
        <v>568</v>
      </c>
      <c r="F3" s="4">
        <v>0</v>
      </c>
      <c r="G3" s="4" t="s">
        <v>604</v>
      </c>
      <c r="H3" s="4" t="s">
        <v>138</v>
      </c>
      <c r="I3" s="4" t="b">
        <v>0</v>
      </c>
      <c r="K3" s="4" t="b">
        <f>IF(COUNTIF($B$2:$B3,B3)&gt;1,TRUE,FALSE)</f>
        <v>0</v>
      </c>
      <c r="L3" t="str">
        <f t="shared" si="0"/>
        <v>p.update({"case_sensitive":{"model":{"type":"yesno","subtype":"yesno","indent":0,"default_value":"yes","docs_url":"https://looker.com/docs/r/lookml/types/model/case_sensitive?version=7.14&amp;lookml=new","has_allowed_values":False,"allowed_values":""}}})</v>
      </c>
      <c r="M3" t="str">
        <f t="shared" si="1"/>
        <v>{"case_sensitive":{"model":{"type":"yesno","subtype":"yesno","indent":0,"default_value":"yes","docs_url":"https://looker.com/docs/r/lookml/types/model/case_sensitive?version=7.14&amp;lookml=new","has_allowed_values":False,"allowed_values":""}}}</v>
      </c>
      <c r="N3" t="str">
        <f t="shared" ref="N3:N66" si="4">"""type"":"&amp;""""&amp;E3&amp;""","</f>
        <v>"type":"yesno",</v>
      </c>
      <c r="O3" t="str">
        <f t="shared" ref="O3:O66" si="5">"""subtype"":"&amp;""""&amp;D3&amp;""","</f>
        <v>"subtype":"yesno",</v>
      </c>
      <c r="P3" t="str">
        <f t="shared" ref="P3:P66" si="6">"""indent"":"&amp;F3&amp;","</f>
        <v>"indent":0,</v>
      </c>
      <c r="Q3" t="str">
        <f t="shared" si="2"/>
        <v>"default_value":"yes",</v>
      </c>
      <c r="R3" t="str">
        <f t="shared" si="3"/>
        <v>"docs_url":"https://looker.com/docs/r/lookml/types/model/case_sensitive?version=7.14&amp;lookml=new",</v>
      </c>
      <c r="S3" t="str">
        <f t="shared" ref="S3:S66" si="7">"""has_allowed_values"":"&amp;IF(I3,"True,","False"&amp;",")</f>
        <v>"has_allowed_values":False,</v>
      </c>
      <c r="T3" t="str">
        <f t="shared" ref="T3:T66" si="8">"""allowed_values"":"&amp;IF(J3&lt;&gt;"",J3,"""""")</f>
        <v>"allowed_values":""</v>
      </c>
    </row>
    <row r="4" spans="1:20" ht="15" hidden="1" customHeight="1" x14ac:dyDescent="0.15">
      <c r="A4" s="7">
        <v>3</v>
      </c>
      <c r="B4" s="6" t="s">
        <v>474</v>
      </c>
      <c r="C4" s="6" t="s">
        <v>111</v>
      </c>
      <c r="D4" s="4" t="s">
        <v>0</v>
      </c>
      <c r="E4" s="4" t="s">
        <v>0</v>
      </c>
      <c r="F4" s="4">
        <v>0</v>
      </c>
      <c r="G4" s="4" t="s">
        <v>591</v>
      </c>
      <c r="H4" s="4" t="s">
        <v>139</v>
      </c>
      <c r="I4" s="4" t="b">
        <v>0</v>
      </c>
      <c r="K4" s="4" t="b">
        <f>IF(COUNTIF($B$2:$B4,B4)&gt;1,TRUE,FALSE)</f>
        <v>0</v>
      </c>
      <c r="L4" t="str">
        <f t="shared" si="0"/>
        <v>p.update({"connection":{"model":{"type":"string","subtype":"string","indent":0,"default_value":"","docs_url":"https://looker.com/docs/r/lookml/types/model/connection?version=7.14&amp;lookml=new","has_allowed_values":False,"allowed_values":""}}})</v>
      </c>
      <c r="M4" t="str">
        <f t="shared" si="1"/>
        <v>{"connection":{"model":{"type":"string","subtype":"string","indent":0,"default_value":"","docs_url":"https://looker.com/docs/r/lookml/types/model/connection?version=7.14&amp;lookml=new","has_allowed_values":False,"allowed_values":""}}}</v>
      </c>
      <c r="N4" t="str">
        <f t="shared" si="4"/>
        <v>"type":"string",</v>
      </c>
      <c r="O4" t="str">
        <f t="shared" si="5"/>
        <v>"subtype":"string",</v>
      </c>
      <c r="P4" t="str">
        <f t="shared" si="6"/>
        <v>"indent":0,</v>
      </c>
      <c r="Q4" t="str">
        <f t="shared" si="2"/>
        <v>"default_value":"",</v>
      </c>
      <c r="R4" t="str">
        <f t="shared" si="3"/>
        <v>"docs_url":"https://looker.com/docs/r/lookml/types/model/connection?version=7.14&amp;lookml=new",</v>
      </c>
      <c r="S4" t="str">
        <f t="shared" si="7"/>
        <v>"has_allowed_values":False,</v>
      </c>
      <c r="T4" t="str">
        <f t="shared" si="8"/>
        <v>"allowed_values":""</v>
      </c>
    </row>
    <row r="5" spans="1:20" ht="15" hidden="1" customHeight="1" x14ac:dyDescent="0.15">
      <c r="A5" s="7">
        <v>4</v>
      </c>
      <c r="B5" s="6" t="s">
        <v>134</v>
      </c>
      <c r="C5" s="6" t="s">
        <v>111</v>
      </c>
      <c r="D5" s="4" t="s">
        <v>95</v>
      </c>
      <c r="E5" s="4" t="s">
        <v>592</v>
      </c>
      <c r="F5" s="4">
        <v>0</v>
      </c>
      <c r="H5" s="4" t="s">
        <v>140</v>
      </c>
      <c r="I5" s="4" t="b">
        <v>0</v>
      </c>
      <c r="K5" s="4" t="b">
        <f>IF(COUNTIF($B$2:$B5,B5)&gt;1,TRUE,FALSE)</f>
        <v>0</v>
      </c>
      <c r="L5" t="str">
        <f t="shared" si="0"/>
        <v>p.update({"datagroup":{"model":{"type":"named_construct","subtype":"identifier","indent":0,"default_value":"","docs_url":"https://looker.com/docs/r/lookml/types/model/datagroup?version=7.14&amp;lookml=new","has_allowed_values":False,"allowed_values":""}}})</v>
      </c>
      <c r="M5" t="str">
        <f t="shared" si="1"/>
        <v>{"datagroup":{"model":{"type":"named_construct","subtype":"identifier","indent":0,"default_value":"","docs_url":"https://looker.com/docs/r/lookml/types/model/datagroup?version=7.14&amp;lookml=new","has_allowed_values":False,"allowed_values":""}}}</v>
      </c>
      <c r="N5" t="str">
        <f t="shared" si="4"/>
        <v>"type":"named_construct",</v>
      </c>
      <c r="O5" t="str">
        <f t="shared" si="5"/>
        <v>"subtype":"identifier",</v>
      </c>
      <c r="P5" t="str">
        <f t="shared" si="6"/>
        <v>"indent":0,</v>
      </c>
      <c r="Q5" t="str">
        <f t="shared" si="2"/>
        <v>"default_value":"",</v>
      </c>
      <c r="R5" t="str">
        <f t="shared" si="3"/>
        <v>"docs_url":"https://looker.com/docs/r/lookml/types/model/datagroup?version=7.14&amp;lookml=new",</v>
      </c>
      <c r="S5" t="str">
        <f t="shared" si="7"/>
        <v>"has_allowed_values":False,</v>
      </c>
      <c r="T5" t="str">
        <f t="shared" si="8"/>
        <v>"allowed_values":""</v>
      </c>
    </row>
    <row r="6" spans="1:20" ht="15" hidden="1" customHeight="1" x14ac:dyDescent="0.15">
      <c r="A6" s="7">
        <v>5</v>
      </c>
      <c r="B6" s="6" t="s">
        <v>89</v>
      </c>
      <c r="C6" s="6" t="s">
        <v>111</v>
      </c>
      <c r="D6" s="4" t="s">
        <v>95</v>
      </c>
      <c r="E6" s="4" t="s">
        <v>592</v>
      </c>
      <c r="F6" s="4">
        <v>0</v>
      </c>
      <c r="H6" s="4" t="s">
        <v>141</v>
      </c>
      <c r="I6" s="4" t="b">
        <v>0</v>
      </c>
      <c r="K6" s="4" t="b">
        <f>IF(COUNTIF($B$2:$B6,B6)&gt;1,TRUE,FALSE)</f>
        <v>0</v>
      </c>
      <c r="L6" t="str">
        <f t="shared" si="0"/>
        <v>p.update({"explore":{"model":{"type":"named_construct","subtype":"identifier","indent":0,"default_value":"","docs_url":"https://looker.com/docs/r/lookml/types/model/explore?version=7.14&amp;lookml=new","has_allowed_values":False,"allowed_values":""}}})</v>
      </c>
      <c r="M6" t="str">
        <f t="shared" si="1"/>
        <v>{"explore":{"model":{"type":"named_construct","subtype":"identifier","indent":0,"default_value":"","docs_url":"https://looker.com/docs/r/lookml/types/model/explore?version=7.14&amp;lookml=new","has_allowed_values":False,"allowed_values":""}}}</v>
      </c>
      <c r="N6" t="str">
        <f t="shared" si="4"/>
        <v>"type":"named_construct",</v>
      </c>
      <c r="O6" t="str">
        <f t="shared" si="5"/>
        <v>"subtype":"identifier",</v>
      </c>
      <c r="P6" t="str">
        <f t="shared" si="6"/>
        <v>"indent":0,</v>
      </c>
      <c r="Q6" t="str">
        <f t="shared" si="2"/>
        <v>"default_value":"",</v>
      </c>
      <c r="R6" t="str">
        <f t="shared" si="3"/>
        <v>"docs_url":"https://looker.com/docs/r/lookml/types/model/explore?version=7.14&amp;lookml=new",</v>
      </c>
      <c r="S6" t="str">
        <f t="shared" si="7"/>
        <v>"has_allowed_values":False,</v>
      </c>
      <c r="T6" t="str">
        <f t="shared" si="8"/>
        <v>"allowed_values":""</v>
      </c>
    </row>
    <row r="7" spans="1:20" ht="15" hidden="1" customHeight="1" x14ac:dyDescent="0.15">
      <c r="A7" s="7">
        <v>6</v>
      </c>
      <c r="B7" s="6" t="s">
        <v>475</v>
      </c>
      <c r="C7" s="6" t="s">
        <v>111</v>
      </c>
      <c r="D7" s="4" t="s">
        <v>62</v>
      </c>
      <c r="E7" s="4" t="s">
        <v>598</v>
      </c>
      <c r="F7" s="4">
        <v>0</v>
      </c>
      <c r="G7" s="4">
        <v>0</v>
      </c>
      <c r="H7" s="4" t="s">
        <v>142</v>
      </c>
      <c r="I7" s="4" t="b">
        <v>0</v>
      </c>
      <c r="K7" s="4" t="b">
        <f>IF(COUNTIF($B$2:$B7,B7)&gt;1,TRUE,FALSE)</f>
        <v>0</v>
      </c>
      <c r="L7" t="str">
        <f t="shared" si="0"/>
        <v>p.update({"fiscal_month_offset":{"model":{"type":"string_unquoted","subtype":"number","indent":0,"default_value":"0","docs_url":"https://looker.com/docs/r/lookml/types/model/fiscal_month_offset?version=7.14&amp;lookml=new","has_allowed_values":False,"allowed_values":""}}})</v>
      </c>
      <c r="M7" t="str">
        <f t="shared" si="1"/>
        <v>{"fiscal_month_offset":{"model":{"type":"string_unquoted","subtype":"number","indent":0,"default_value":"0","docs_url":"https://looker.com/docs/r/lookml/types/model/fiscal_month_offset?version=7.14&amp;lookml=new","has_allowed_values":False,"allowed_values":""}}}</v>
      </c>
      <c r="N7" t="str">
        <f t="shared" si="4"/>
        <v>"type":"string_unquoted",</v>
      </c>
      <c r="O7" t="str">
        <f t="shared" si="5"/>
        <v>"subtype":"number",</v>
      </c>
      <c r="P7" t="str">
        <f t="shared" si="6"/>
        <v>"indent":0,</v>
      </c>
      <c r="Q7" t="str">
        <f t="shared" si="2"/>
        <v>"default_value":"0",</v>
      </c>
      <c r="R7" t="str">
        <f t="shared" si="3"/>
        <v>"docs_url":"https://looker.com/docs/r/lookml/types/model/fiscal_month_offset?version=7.14&amp;lookml=new",</v>
      </c>
      <c r="S7" t="str">
        <f t="shared" si="7"/>
        <v>"has_allowed_values":False,</v>
      </c>
      <c r="T7" t="str">
        <f t="shared" si="8"/>
        <v>"allowed_values":""</v>
      </c>
    </row>
    <row r="8" spans="1:20" ht="15" hidden="1" customHeight="1" x14ac:dyDescent="0.15">
      <c r="A8" s="7">
        <v>7</v>
      </c>
      <c r="B8" s="6" t="s">
        <v>476</v>
      </c>
      <c r="C8" s="6" t="s">
        <v>111</v>
      </c>
      <c r="D8" s="4" t="s">
        <v>0</v>
      </c>
      <c r="E8" s="4" t="s">
        <v>0</v>
      </c>
      <c r="F8" s="4">
        <v>0</v>
      </c>
      <c r="G8" s="4" t="s">
        <v>591</v>
      </c>
      <c r="H8" s="4" t="s">
        <v>143</v>
      </c>
      <c r="I8" s="4" t="b">
        <v>0</v>
      </c>
      <c r="K8" s="4" t="b">
        <f>IF(COUNTIF($B$2:$B8,B8)&gt;1,TRUE,FALSE)</f>
        <v>0</v>
      </c>
      <c r="L8" t="str">
        <f t="shared" si="0"/>
        <v>p.update({"include":{"model":{"type":"string","subtype":"string","indent":0,"default_value":"","docs_url":"https://looker.com/docs/r/lookml/types/model/include?version=7.14&amp;lookml=new","has_allowed_values":False,"allowed_values":""}}})</v>
      </c>
      <c r="M8" t="str">
        <f t="shared" si="1"/>
        <v>{"include":{"model":{"type":"string","subtype":"string","indent":0,"default_value":"","docs_url":"https://looker.com/docs/r/lookml/types/model/include?version=7.14&amp;lookml=new","has_allowed_values":False,"allowed_values":""}}}</v>
      </c>
      <c r="N8" t="str">
        <f t="shared" si="4"/>
        <v>"type":"string",</v>
      </c>
      <c r="O8" t="str">
        <f t="shared" si="5"/>
        <v>"subtype":"string",</v>
      </c>
      <c r="P8" t="str">
        <f t="shared" si="6"/>
        <v>"indent":0,</v>
      </c>
      <c r="Q8" t="str">
        <f t="shared" si="2"/>
        <v>"default_value":"",</v>
      </c>
      <c r="R8" t="str">
        <f t="shared" si="3"/>
        <v>"docs_url":"https://looker.com/docs/r/lookml/types/model/include?version=7.14&amp;lookml=new",</v>
      </c>
      <c r="S8" t="str">
        <f t="shared" si="7"/>
        <v>"has_allowed_values":False,</v>
      </c>
      <c r="T8" t="str">
        <f t="shared" si="8"/>
        <v>"allowed_values":""</v>
      </c>
    </row>
    <row r="9" spans="1:20" ht="15" hidden="1" customHeight="1" x14ac:dyDescent="0.15">
      <c r="A9" s="7">
        <v>8</v>
      </c>
      <c r="B9" s="6" t="s">
        <v>23</v>
      </c>
      <c r="C9" s="6" t="s">
        <v>111</v>
      </c>
      <c r="D9" s="4" t="s">
        <v>29</v>
      </c>
      <c r="E9" s="4" t="s">
        <v>0</v>
      </c>
      <c r="F9" s="4">
        <v>0</v>
      </c>
      <c r="G9" s="4" t="s">
        <v>591</v>
      </c>
      <c r="H9" s="4" t="s">
        <v>144</v>
      </c>
      <c r="I9" s="4" t="b">
        <v>0</v>
      </c>
      <c r="K9" s="4" t="b">
        <f>IF(COUNTIF($B$2:$B9,B9)&gt;1,TRUE,FALSE)</f>
        <v>0</v>
      </c>
      <c r="L9" t="str">
        <f t="shared" si="0"/>
        <v>p.update({"label":{"model":{"type":"string","subtype":"possibly-localized-string","indent":0,"default_value":"","docs_url":"https://looker.com/docs/r/lookml/types/model/label?version=7.14&amp;lookml=new","has_allowed_values":False,"allowed_values":""}}})</v>
      </c>
      <c r="M9" t="str">
        <f t="shared" si="1"/>
        <v>{"label":{"model":{"type":"string","subtype":"possibly-localized-string","indent":0,"default_value":"","docs_url":"https://looker.com/docs/r/lookml/types/model/label?version=7.14&amp;lookml=new","has_allowed_values":False,"allowed_values":""}}}</v>
      </c>
      <c r="N9" t="str">
        <f t="shared" si="4"/>
        <v>"type":"string",</v>
      </c>
      <c r="O9" t="str">
        <f t="shared" si="5"/>
        <v>"subtype":"possibly-localized-string",</v>
      </c>
      <c r="P9" t="str">
        <f t="shared" si="6"/>
        <v>"indent":0,</v>
      </c>
      <c r="Q9" t="str">
        <f t="shared" si="2"/>
        <v>"default_value":"",</v>
      </c>
      <c r="R9" t="str">
        <f t="shared" si="3"/>
        <v>"docs_url":"https://looker.com/docs/r/lookml/types/model/label?version=7.14&amp;lookml=new",</v>
      </c>
      <c r="S9" t="str">
        <f t="shared" si="7"/>
        <v>"has_allowed_values":False,</v>
      </c>
      <c r="T9" t="str">
        <f t="shared" si="8"/>
        <v>"allowed_values":""</v>
      </c>
    </row>
    <row r="10" spans="1:20" ht="15" hidden="1" customHeight="1" x14ac:dyDescent="0.15">
      <c r="A10" s="7">
        <v>9</v>
      </c>
      <c r="B10" s="6" t="s">
        <v>132</v>
      </c>
      <c r="C10" s="6" t="s">
        <v>111</v>
      </c>
      <c r="D10" s="4" t="s">
        <v>95</v>
      </c>
      <c r="E10" s="4" t="s">
        <v>592</v>
      </c>
      <c r="F10" s="4">
        <v>0</v>
      </c>
      <c r="H10" s="4" t="s">
        <v>145</v>
      </c>
      <c r="I10" s="4" t="b">
        <v>0</v>
      </c>
      <c r="K10" s="4" t="b">
        <f>IF(COUNTIF($B$2:$B10,B10)&gt;1,TRUE,FALSE)</f>
        <v>0</v>
      </c>
      <c r="L10" t="str">
        <f t="shared" si="0"/>
        <v>p.update({"map_layer":{"model":{"type":"named_construct","subtype":"identifier","indent":0,"default_value":"","docs_url":"https://looker.com/docs/r/lookml/types/model/map_layer?version=7.14&amp;lookml=new","has_allowed_values":False,"allowed_values":""}}})</v>
      </c>
      <c r="M10" t="str">
        <f t="shared" si="1"/>
        <v>{"map_layer":{"model":{"type":"named_construct","subtype":"identifier","indent":0,"default_value":"","docs_url":"https://looker.com/docs/r/lookml/types/model/map_layer?version=7.14&amp;lookml=new","has_allowed_values":False,"allowed_values":""}}}</v>
      </c>
      <c r="N10" t="str">
        <f t="shared" si="4"/>
        <v>"type":"named_construct",</v>
      </c>
      <c r="O10" t="str">
        <f t="shared" si="5"/>
        <v>"subtype":"identifier",</v>
      </c>
      <c r="P10" t="str">
        <f t="shared" si="6"/>
        <v>"indent":0,</v>
      </c>
      <c r="Q10" t="str">
        <f t="shared" si="2"/>
        <v>"default_value":"",</v>
      </c>
      <c r="R10" t="str">
        <f t="shared" si="3"/>
        <v>"docs_url":"https://looker.com/docs/r/lookml/types/model/map_layer?version=7.14&amp;lookml=new",</v>
      </c>
      <c r="S10" t="str">
        <f t="shared" si="7"/>
        <v>"has_allowed_values":False,</v>
      </c>
      <c r="T10" t="str">
        <f t="shared" si="8"/>
        <v>"allowed_values":""</v>
      </c>
    </row>
    <row r="11" spans="1:20" ht="15" hidden="1" customHeight="1" x14ac:dyDescent="0.15">
      <c r="A11" s="7">
        <v>10</v>
      </c>
      <c r="B11" s="6" t="s">
        <v>135</v>
      </c>
      <c r="C11" s="6" t="s">
        <v>111</v>
      </c>
      <c r="D11" s="4" t="s">
        <v>95</v>
      </c>
      <c r="E11" s="4" t="s">
        <v>592</v>
      </c>
      <c r="F11" s="4">
        <v>0</v>
      </c>
      <c r="H11" s="4" t="s">
        <v>146</v>
      </c>
      <c r="I11" s="4" t="b">
        <v>0</v>
      </c>
      <c r="K11" s="4" t="b">
        <f>IF(COUNTIF($B$2:$B11,B11)&gt;1,TRUE,FALSE)</f>
        <v>0</v>
      </c>
      <c r="L11" t="str">
        <f t="shared" si="0"/>
        <v>p.update({"named_value_format":{"model":{"type":"named_construct","subtype":"identifier","indent":0,"default_value":"","docs_url":"https://looker.com/docs/r/lookml/types/model/named_value_format?version=7.14&amp;lookml=new","has_allowed_values":False,"allowed_values":""}}})</v>
      </c>
      <c r="M11" t="str">
        <f t="shared" si="1"/>
        <v>{"named_value_format":{"model":{"type":"named_construct","subtype":"identifier","indent":0,"default_value":"","docs_url":"https://looker.com/docs/r/lookml/types/model/named_value_format?version=7.14&amp;lookml=new","has_allowed_values":False,"allowed_values":""}}}</v>
      </c>
      <c r="N11" t="str">
        <f t="shared" si="4"/>
        <v>"type":"named_construct",</v>
      </c>
      <c r="O11" t="str">
        <f t="shared" si="5"/>
        <v>"subtype":"identifier",</v>
      </c>
      <c r="P11" t="str">
        <f t="shared" si="6"/>
        <v>"indent":0,</v>
      </c>
      <c r="Q11" t="str">
        <f t="shared" si="2"/>
        <v>"default_value":"",</v>
      </c>
      <c r="R11" t="str">
        <f t="shared" si="3"/>
        <v>"docs_url":"https://looker.com/docs/r/lookml/types/model/named_value_format?version=7.14&amp;lookml=new",</v>
      </c>
      <c r="S11" t="str">
        <f t="shared" si="7"/>
        <v>"has_allowed_values":False,</v>
      </c>
      <c r="T11" t="str">
        <f t="shared" si="8"/>
        <v>"allowed_values":""</v>
      </c>
    </row>
    <row r="12" spans="1:20" ht="15" hidden="1" customHeight="1" x14ac:dyDescent="0.15">
      <c r="A12" s="7">
        <v>11</v>
      </c>
      <c r="B12" s="6" t="s">
        <v>76</v>
      </c>
      <c r="C12" s="6" t="s">
        <v>111</v>
      </c>
      <c r="D12" s="4" t="s">
        <v>0</v>
      </c>
      <c r="E12" s="4" t="s">
        <v>0</v>
      </c>
      <c r="F12" s="4">
        <v>0</v>
      </c>
      <c r="G12" s="4" t="s">
        <v>591</v>
      </c>
      <c r="H12" s="4" t="s">
        <v>147</v>
      </c>
      <c r="I12" s="4" t="b">
        <v>0</v>
      </c>
      <c r="K12" s="4" t="b">
        <f>IF(COUNTIF($B$2:$B12,B12)&gt;1,TRUE,FALSE)</f>
        <v>0</v>
      </c>
      <c r="L12" t="str">
        <f t="shared" si="0"/>
        <v>p.update({"persist_for":{"model":{"type":"string","subtype":"string","indent":0,"default_value":"","docs_url":"https://looker.com/docs/r/lookml/types/model/persist_for?version=7.14&amp;lookml=new","has_allowed_values":False,"allowed_values":""}}})</v>
      </c>
      <c r="M12" t="str">
        <f t="shared" si="1"/>
        <v>{"persist_for":{"model":{"type":"string","subtype":"string","indent":0,"default_value":"","docs_url":"https://looker.com/docs/r/lookml/types/model/persist_for?version=7.14&amp;lookml=new","has_allowed_values":False,"allowed_values":""}}}</v>
      </c>
      <c r="N12" t="str">
        <f t="shared" si="4"/>
        <v>"type":"string",</v>
      </c>
      <c r="O12" t="str">
        <f t="shared" si="5"/>
        <v>"subtype":"string",</v>
      </c>
      <c r="P12" t="str">
        <f t="shared" si="6"/>
        <v>"indent":0,</v>
      </c>
      <c r="Q12" t="str">
        <f t="shared" si="2"/>
        <v>"default_value":"",</v>
      </c>
      <c r="R12" t="str">
        <f t="shared" si="3"/>
        <v>"docs_url":"https://looker.com/docs/r/lookml/types/model/persist_for?version=7.14&amp;lookml=new",</v>
      </c>
      <c r="S12" t="str">
        <f t="shared" si="7"/>
        <v>"has_allowed_values":False,</v>
      </c>
      <c r="T12" t="str">
        <f t="shared" si="8"/>
        <v>"allowed_values":""</v>
      </c>
    </row>
    <row r="13" spans="1:20" ht="15" hidden="1" customHeight="1" x14ac:dyDescent="0.15">
      <c r="A13" s="7">
        <v>12</v>
      </c>
      <c r="B13" s="6" t="s">
        <v>97</v>
      </c>
      <c r="C13" s="6" t="s">
        <v>111</v>
      </c>
      <c r="D13" s="4" t="s">
        <v>68</v>
      </c>
      <c r="E13" s="4" t="s">
        <v>598</v>
      </c>
      <c r="F13" s="4">
        <v>0</v>
      </c>
      <c r="H13" s="4" t="s">
        <v>148</v>
      </c>
      <c r="I13" s="4" t="b">
        <v>0</v>
      </c>
      <c r="K13" s="4" t="b">
        <f>IF(COUNTIF($B$2:$B13,B13)&gt;1,TRUE,FALSE)</f>
        <v>0</v>
      </c>
      <c r="L13" t="str">
        <f t="shared" si="0"/>
        <v>p.update({"persist_with":{"model":{"type":"string_unquoted","subtype":"datagroup-ref","indent":0,"default_value":"","docs_url":"https://looker.com/docs/r/lookml/types/model/persist_with?version=7.14&amp;lookml=new","has_allowed_values":False,"allowed_values":""}}})</v>
      </c>
      <c r="M13" t="str">
        <f t="shared" si="1"/>
        <v>{"persist_with":{"model":{"type":"string_unquoted","subtype":"datagroup-ref","indent":0,"default_value":"","docs_url":"https://looker.com/docs/r/lookml/types/model/persist_with?version=7.14&amp;lookml=new","has_allowed_values":False,"allowed_values":""}}}</v>
      </c>
      <c r="N13" t="str">
        <f t="shared" si="4"/>
        <v>"type":"string_unquoted",</v>
      </c>
      <c r="O13" t="str">
        <f t="shared" si="5"/>
        <v>"subtype":"datagroup-ref",</v>
      </c>
      <c r="P13" t="str">
        <f t="shared" si="6"/>
        <v>"indent":0,</v>
      </c>
      <c r="Q13" t="str">
        <f t="shared" si="2"/>
        <v>"default_value":"",</v>
      </c>
      <c r="R13" t="str">
        <f t="shared" si="3"/>
        <v>"docs_url":"https://looker.com/docs/r/lookml/types/model/persist_with?version=7.14&amp;lookml=new",</v>
      </c>
      <c r="S13" t="str">
        <f t="shared" si="7"/>
        <v>"has_allowed_values":False,</v>
      </c>
      <c r="T13" t="str">
        <f t="shared" si="8"/>
        <v>"allowed_values":""</v>
      </c>
    </row>
    <row r="14" spans="1:20" ht="15" hidden="1" customHeight="1" x14ac:dyDescent="0.15">
      <c r="A14" s="7">
        <v>13</v>
      </c>
      <c r="B14" s="6" t="s">
        <v>133</v>
      </c>
      <c r="C14" s="6" t="s">
        <v>111</v>
      </c>
      <c r="D14" s="4" t="s">
        <v>95</v>
      </c>
      <c r="E14" s="4" t="s">
        <v>592</v>
      </c>
      <c r="F14" s="4">
        <v>0</v>
      </c>
      <c r="H14" s="4" t="s">
        <v>149</v>
      </c>
      <c r="I14" s="4" t="b">
        <v>0</v>
      </c>
      <c r="K14" s="4" t="b">
        <f>IF(COUNTIF($B$2:$B14,B14)&gt;1,TRUE,FALSE)</f>
        <v>0</v>
      </c>
      <c r="L14" t="str">
        <f t="shared" si="0"/>
        <v>p.update({"test":{"model":{"type":"named_construct","subtype":"identifier","indent":0,"default_value":"","docs_url":"https://looker.com/docs/r/lookml/types/model/test?version=7.14&amp;lookml=new","has_allowed_values":False,"allowed_values":""}}})</v>
      </c>
      <c r="M14" t="str">
        <f t="shared" si="1"/>
        <v>{"test":{"model":{"type":"named_construct","subtype":"identifier","indent":0,"default_value":"","docs_url":"https://looker.com/docs/r/lookml/types/model/test?version=7.14&amp;lookml=new","has_allowed_values":False,"allowed_values":""}}}</v>
      </c>
      <c r="N14" t="str">
        <f t="shared" si="4"/>
        <v>"type":"named_construct",</v>
      </c>
      <c r="O14" t="str">
        <f t="shared" si="5"/>
        <v>"subtype":"identifier",</v>
      </c>
      <c r="P14" t="str">
        <f t="shared" si="6"/>
        <v>"indent":0,</v>
      </c>
      <c r="Q14" t="str">
        <f t="shared" si="2"/>
        <v>"default_value":"",</v>
      </c>
      <c r="R14" t="str">
        <f t="shared" si="3"/>
        <v>"docs_url":"https://looker.com/docs/r/lookml/types/model/test?version=7.14&amp;lookml=new",</v>
      </c>
      <c r="S14" t="str">
        <f t="shared" si="7"/>
        <v>"has_allowed_values":False,</v>
      </c>
      <c r="T14" t="str">
        <f t="shared" si="8"/>
        <v>"allowed_values":""</v>
      </c>
    </row>
    <row r="15" spans="1:20" ht="15" hidden="1" customHeight="1" x14ac:dyDescent="0.15">
      <c r="A15" s="7">
        <v>14</v>
      </c>
      <c r="B15" s="6" t="s">
        <v>110</v>
      </c>
      <c r="C15" s="6" t="s">
        <v>111</v>
      </c>
      <c r="D15" s="4" t="s">
        <v>95</v>
      </c>
      <c r="E15" s="4" t="s">
        <v>592</v>
      </c>
      <c r="F15" s="4">
        <v>0</v>
      </c>
      <c r="H15" s="4" t="s">
        <v>150</v>
      </c>
      <c r="I15" s="4" t="b">
        <v>0</v>
      </c>
      <c r="K15" s="4" t="b">
        <f>IF(COUNTIF($B$2:$B15,B15)&gt;1,TRUE,FALSE)</f>
        <v>0</v>
      </c>
      <c r="L15" t="str">
        <f t="shared" si="0"/>
        <v>p.update({"view":{"model":{"type":"named_construct","subtype":"identifier","indent":0,"default_value":"","docs_url":"https://looker.com/docs/r/lookml/types/model/view?version=7.14&amp;lookml=new","has_allowed_values":False,"allowed_values":""}}})</v>
      </c>
      <c r="M15" t="str">
        <f t="shared" si="1"/>
        <v>{"view":{"model":{"type":"named_construct","subtype":"identifier","indent":0,"default_value":"","docs_url":"https://looker.com/docs/r/lookml/types/model/view?version=7.14&amp;lookml=new","has_allowed_values":False,"allowed_values":""}}}</v>
      </c>
      <c r="N15" t="str">
        <f t="shared" si="4"/>
        <v>"type":"named_construct",</v>
      </c>
      <c r="O15" t="str">
        <f t="shared" si="5"/>
        <v>"subtype":"identifier",</v>
      </c>
      <c r="P15" t="str">
        <f t="shared" si="6"/>
        <v>"indent":0,</v>
      </c>
      <c r="Q15" t="str">
        <f t="shared" si="2"/>
        <v>"default_value":"",</v>
      </c>
      <c r="R15" t="str">
        <f t="shared" si="3"/>
        <v>"docs_url":"https://looker.com/docs/r/lookml/types/model/view?version=7.14&amp;lookml=new",</v>
      </c>
      <c r="S15" t="str">
        <f t="shared" si="7"/>
        <v>"has_allowed_values":False,</v>
      </c>
      <c r="T15" t="str">
        <f t="shared" si="8"/>
        <v>"allowed_values":""</v>
      </c>
    </row>
    <row r="16" spans="1:20" ht="15" hidden="1" customHeight="1" x14ac:dyDescent="0.15">
      <c r="A16" s="7">
        <v>15</v>
      </c>
      <c r="B16" s="6" t="s">
        <v>477</v>
      </c>
      <c r="C16" s="6" t="s">
        <v>111</v>
      </c>
      <c r="D16" s="4" t="s">
        <v>550</v>
      </c>
      <c r="E16" s="4" t="s">
        <v>550</v>
      </c>
      <c r="F16" s="4">
        <v>0</v>
      </c>
      <c r="G16" s="4" t="s">
        <v>593</v>
      </c>
      <c r="H16" s="4" t="s">
        <v>151</v>
      </c>
      <c r="I16" s="4" t="b">
        <v>1</v>
      </c>
      <c r="J16" s="4" t="s">
        <v>573</v>
      </c>
      <c r="K16" s="4" t="b">
        <f>IF(COUNTIF($B$2:$B16,B16)&gt;1,TRUE,FALSE)</f>
        <v>0</v>
      </c>
      <c r="L16" t="str">
        <f t="shared" si="0"/>
        <v>p.update({"week_start_day":{"model":{"type":"options","subtype":"options","indent":0,"default_value":"monday","docs_url":"https://looker.com/docs/r/lookml/types/model/week_start_day?version=7.14&amp;lookml=new","has_allowed_values":True,"allowed_values":["monday", "tuesday", "wednesday", "thursday", "friday", "saturday", "sunday"]}}})</v>
      </c>
      <c r="M16" t="str">
        <f t="shared" si="1"/>
        <v>{"week_start_day":{"model":{"type":"options","subtype":"options","indent":0,"default_value":"monday","docs_url":"https://looker.com/docs/r/lookml/types/model/week_start_day?version=7.14&amp;lookml=new","has_allowed_values":True,"allowed_values":["monday", "tuesday", "wednesday", "thursday", "friday", "saturday", "sunday"]}}}</v>
      </c>
      <c r="N16" t="str">
        <f t="shared" si="4"/>
        <v>"type":"options",</v>
      </c>
      <c r="O16" t="str">
        <f t="shared" si="5"/>
        <v>"subtype":"options",</v>
      </c>
      <c r="P16" t="str">
        <f t="shared" si="6"/>
        <v>"indent":0,</v>
      </c>
      <c r="Q16" t="str">
        <f t="shared" si="2"/>
        <v>"default_value":"monday",</v>
      </c>
      <c r="R16" t="str">
        <f t="shared" si="3"/>
        <v>"docs_url":"https://looker.com/docs/r/lookml/types/model/week_start_day?version=7.14&amp;lookml=new",</v>
      </c>
      <c r="S16" t="str">
        <f t="shared" si="7"/>
        <v>"has_allowed_values":True,</v>
      </c>
      <c r="T16" t="str">
        <f t="shared" si="8"/>
        <v>"allowed_values":["monday", "tuesday", "wednesday", "thursday", "friday", "saturday", "sunday"]</v>
      </c>
    </row>
    <row r="17" spans="1:20" ht="15" hidden="1" customHeight="1" x14ac:dyDescent="0.15">
      <c r="A17" s="7">
        <v>18</v>
      </c>
      <c r="B17" s="6" t="s">
        <v>478</v>
      </c>
      <c r="C17" s="6" t="s">
        <v>114</v>
      </c>
      <c r="D17" s="4" t="s">
        <v>540</v>
      </c>
      <c r="E17" s="4" t="s">
        <v>540</v>
      </c>
      <c r="F17" s="4">
        <v>0</v>
      </c>
      <c r="H17" s="4" t="s">
        <v>152</v>
      </c>
      <c r="I17" s="4" t="b">
        <v>0</v>
      </c>
      <c r="K17" s="4" t="b">
        <f>IF(COUNTIF($B$2:$B17,B17)&gt;1,TRUE,FALSE)</f>
        <v>0</v>
      </c>
      <c r="L17" t="str">
        <f t="shared" si="0"/>
        <v>p.update({"local_dependency":{"manifest":{"type":"anonymous_construct_plural","subtype":"anonymous_construct_plural","indent":0,"default_value":"","docs_url":"https://looker.com/docs/r/lookml/types/manifest/local_dependency?version=7.14&amp;lookml=new","has_allowed_values":False,"allowed_values":""}}})</v>
      </c>
      <c r="M17" t="str">
        <f t="shared" si="1"/>
        <v>{"local_dependency":{"manifest":{"type":"anonymous_construct_plural","subtype":"anonymous_construct_plural","indent":0,"default_value":"","docs_url":"https://looker.com/docs/r/lookml/types/manifest/local_dependency?version=7.14&amp;lookml=new","has_allowed_values":False,"allowed_values":""}}}</v>
      </c>
      <c r="N17" t="str">
        <f t="shared" si="4"/>
        <v>"type":"anonymous_construct_plural",</v>
      </c>
      <c r="O17" t="str">
        <f t="shared" si="5"/>
        <v>"subtype":"anonymous_construct_plural",</v>
      </c>
      <c r="P17" t="str">
        <f t="shared" si="6"/>
        <v>"indent":0,</v>
      </c>
      <c r="Q17" t="str">
        <f t="shared" si="2"/>
        <v>"default_value":"",</v>
      </c>
      <c r="R17" t="str">
        <f t="shared" si="3"/>
        <v>"docs_url":"https://looker.com/docs/r/lookml/types/manifest/local_dependency?version=7.14&amp;lookml=new",</v>
      </c>
      <c r="S17" t="str">
        <f t="shared" si="7"/>
        <v>"has_allowed_values":False,</v>
      </c>
      <c r="T17" t="str">
        <f t="shared" si="8"/>
        <v>"allowed_values":""</v>
      </c>
    </row>
    <row r="18" spans="1:20" ht="15" hidden="1" customHeight="1" x14ac:dyDescent="0.15">
      <c r="A18" s="7">
        <v>19</v>
      </c>
      <c r="B18" s="6" t="s">
        <v>479</v>
      </c>
      <c r="C18" s="6" t="s">
        <v>114</v>
      </c>
      <c r="D18" s="4" t="s">
        <v>95</v>
      </c>
      <c r="E18" s="4" t="s">
        <v>592</v>
      </c>
      <c r="F18" s="4">
        <v>0</v>
      </c>
      <c r="H18" s="4" t="s">
        <v>153</v>
      </c>
      <c r="I18" s="4" t="b">
        <v>0</v>
      </c>
      <c r="K18" s="4" t="b">
        <f>IF(COUNTIF($B$2:$B18,B18)&gt;1,TRUE,FALSE)</f>
        <v>0</v>
      </c>
      <c r="L18" t="str">
        <f t="shared" si="0"/>
        <v>p.update({"remote_dependency":{"manifest":{"type":"named_construct","subtype":"identifier","indent":0,"default_value":"","docs_url":"https://looker.com/docs/r/lookml/types/manifest/remote_dependency?version=7.14&amp;lookml=new","has_allowed_values":False,"allowed_values":""}}})</v>
      </c>
      <c r="M18" t="str">
        <f t="shared" si="1"/>
        <v>{"remote_dependency":{"manifest":{"type":"named_construct","subtype":"identifier","indent":0,"default_value":"","docs_url":"https://looker.com/docs/r/lookml/types/manifest/remote_dependency?version=7.14&amp;lookml=new","has_allowed_values":False,"allowed_values":""}}}</v>
      </c>
      <c r="N18" t="str">
        <f t="shared" si="4"/>
        <v>"type":"named_construct",</v>
      </c>
      <c r="O18" t="str">
        <f t="shared" si="5"/>
        <v>"subtype":"identifier",</v>
      </c>
      <c r="P18" t="str">
        <f t="shared" si="6"/>
        <v>"indent":0,</v>
      </c>
      <c r="Q18" t="str">
        <f t="shared" si="2"/>
        <v>"default_value":"",</v>
      </c>
      <c r="R18" t="str">
        <f t="shared" si="3"/>
        <v>"docs_url":"https://looker.com/docs/r/lookml/types/manifest/remote_dependency?version=7.14&amp;lookml=new",</v>
      </c>
      <c r="S18" t="str">
        <f t="shared" si="7"/>
        <v>"has_allowed_values":False,</v>
      </c>
      <c r="T18" t="str">
        <f t="shared" si="8"/>
        <v>"allowed_values":""</v>
      </c>
    </row>
    <row r="19" spans="1:20" ht="15" hidden="1" customHeight="1" x14ac:dyDescent="0.15">
      <c r="A19" s="7">
        <v>20</v>
      </c>
      <c r="B19" s="6" t="s">
        <v>480</v>
      </c>
      <c r="C19" s="6" t="s">
        <v>114</v>
      </c>
      <c r="D19" s="4" t="s">
        <v>539</v>
      </c>
      <c r="E19" s="4" t="s">
        <v>539</v>
      </c>
      <c r="F19" s="4">
        <v>0</v>
      </c>
      <c r="H19" s="4" t="s">
        <v>154</v>
      </c>
      <c r="I19" s="4" t="b">
        <v>0</v>
      </c>
      <c r="K19" s="4" t="b">
        <f>IF(COUNTIF($B$2:$B19,B19)&gt;1,TRUE,FALSE)</f>
        <v>0</v>
      </c>
      <c r="L19" t="str">
        <f t="shared" si="0"/>
        <v>p.update({"localization_settings":{"manifest":{"type":"anonymous_construct","subtype":"anonymous_construct","indent":0,"default_value":"","docs_url":"https://looker.com/docs/r/lookml/types/manifest/localization_settings?version=7.14&amp;lookml=new","has_allowed_values":False,"allowed_values":""}}})</v>
      </c>
      <c r="M19" t="str">
        <f t="shared" si="1"/>
        <v>{"localization_settings":{"manifest":{"type":"anonymous_construct","subtype":"anonymous_construct","indent":0,"default_value":"","docs_url":"https://looker.com/docs/r/lookml/types/manifest/localization_settings?version=7.14&amp;lookml=new","has_allowed_values":False,"allowed_values":""}}}</v>
      </c>
      <c r="N19" t="str">
        <f t="shared" si="4"/>
        <v>"type":"anonymous_construct",</v>
      </c>
      <c r="O19" t="str">
        <f t="shared" si="5"/>
        <v>"subtype":"anonymous_construct",</v>
      </c>
      <c r="P19" t="str">
        <f t="shared" si="6"/>
        <v>"indent":0,</v>
      </c>
      <c r="Q19" t="str">
        <f t="shared" si="2"/>
        <v>"default_value":"",</v>
      </c>
      <c r="R19" t="str">
        <f t="shared" si="3"/>
        <v>"docs_url":"https://looker.com/docs/r/lookml/types/manifest/localization_settings?version=7.14&amp;lookml=new",</v>
      </c>
      <c r="S19" t="str">
        <f t="shared" si="7"/>
        <v>"has_allowed_values":False,</v>
      </c>
      <c r="T19" t="str">
        <f t="shared" si="8"/>
        <v>"allowed_values":""</v>
      </c>
    </row>
    <row r="20" spans="1:20" ht="15" hidden="1" customHeight="1" x14ac:dyDescent="0.15">
      <c r="A20" s="7">
        <v>21</v>
      </c>
      <c r="B20" s="6" t="s">
        <v>481</v>
      </c>
      <c r="C20" s="6" t="s">
        <v>114</v>
      </c>
      <c r="D20" s="4" t="s">
        <v>535</v>
      </c>
      <c r="E20" s="4" t="s">
        <v>0</v>
      </c>
      <c r="F20" s="4">
        <v>0</v>
      </c>
      <c r="G20" s="4" t="s">
        <v>591</v>
      </c>
      <c r="H20" s="4" t="s">
        <v>155</v>
      </c>
      <c r="I20" s="4" t="b">
        <v>0</v>
      </c>
      <c r="K20" s="4" t="b">
        <f>IF(COUNTIF($B$2:$B20,B20)&gt;1,TRUE,FALSE)</f>
        <v>0</v>
      </c>
      <c r="L20" t="str">
        <f t="shared" si="0"/>
        <v>p.update({"project_name":{"manifest":{"type":"string","subtype":"project-name","indent":0,"default_value":"","docs_url":"https://looker.com/docs/r/lookml/types/manifest/project_name?version=7.14&amp;lookml=new","has_allowed_values":False,"allowed_values":""}}})</v>
      </c>
      <c r="M20" t="str">
        <f t="shared" si="1"/>
        <v>{"project_name":{"manifest":{"type":"string","subtype":"project-name","indent":0,"default_value":"","docs_url":"https://looker.com/docs/r/lookml/types/manifest/project_name?version=7.14&amp;lookml=new","has_allowed_values":False,"allowed_values":""}}}</v>
      </c>
      <c r="N20" t="str">
        <f t="shared" si="4"/>
        <v>"type":"string",</v>
      </c>
      <c r="O20" t="str">
        <f t="shared" si="5"/>
        <v>"subtype":"project-name",</v>
      </c>
      <c r="P20" t="str">
        <f t="shared" si="6"/>
        <v>"indent":0,</v>
      </c>
      <c r="Q20" t="str">
        <f t="shared" si="2"/>
        <v>"default_value":"",</v>
      </c>
      <c r="R20" t="str">
        <f t="shared" si="3"/>
        <v>"docs_url":"https://looker.com/docs/r/lookml/types/manifest/project_name?version=7.14&amp;lookml=new",</v>
      </c>
      <c r="S20" t="str">
        <f t="shared" si="7"/>
        <v>"has_allowed_values":False,</v>
      </c>
      <c r="T20" t="str">
        <f t="shared" si="8"/>
        <v>"allowed_values":""</v>
      </c>
    </row>
    <row r="21" spans="1:20" ht="15" hidden="1" customHeight="1" x14ac:dyDescent="0.15">
      <c r="A21" s="7">
        <v>22</v>
      </c>
      <c r="B21" s="6" t="s">
        <v>482</v>
      </c>
      <c r="C21" s="6" t="s">
        <v>114</v>
      </c>
      <c r="D21" s="4" t="s">
        <v>536</v>
      </c>
      <c r="E21" s="4" t="s">
        <v>598</v>
      </c>
      <c r="F21" s="4">
        <v>0</v>
      </c>
      <c r="H21" s="4" t="s">
        <v>156</v>
      </c>
      <c r="I21" s="4" t="b">
        <v>0</v>
      </c>
      <c r="K21" s="4" t="b">
        <f>IF(COUNTIF($B$2:$B21,B21)&gt;1,TRUE,FALSE)</f>
        <v>0</v>
      </c>
      <c r="L21" t="str">
        <f t="shared" si="0"/>
        <v>p.update({"constant":{"manifest":{"type":"string_unquoted","subtype":"constant-ref","indent":0,"default_value":"","docs_url":"https://looker.com/docs/r/lookml/types/manifest/constant?version=7.14&amp;lookml=new","has_allowed_values":False,"allowed_values":""}}})</v>
      </c>
      <c r="M21" t="str">
        <f t="shared" si="1"/>
        <v>{"constant":{"manifest":{"type":"string_unquoted","subtype":"constant-ref","indent":0,"default_value":"","docs_url":"https://looker.com/docs/r/lookml/types/manifest/constant?version=7.14&amp;lookml=new","has_allowed_values":False,"allowed_values":""}}}</v>
      </c>
      <c r="N21" t="str">
        <f t="shared" si="4"/>
        <v>"type":"string_unquoted",</v>
      </c>
      <c r="O21" t="str">
        <f t="shared" si="5"/>
        <v>"subtype":"constant-ref",</v>
      </c>
      <c r="P21" t="str">
        <f t="shared" si="6"/>
        <v>"indent":0,</v>
      </c>
      <c r="Q21" t="str">
        <f t="shared" si="2"/>
        <v>"default_value":"",</v>
      </c>
      <c r="R21" t="str">
        <f t="shared" si="3"/>
        <v>"docs_url":"https://looker.com/docs/r/lookml/types/manifest/constant?version=7.14&amp;lookml=new",</v>
      </c>
      <c r="S21" t="str">
        <f t="shared" si="7"/>
        <v>"has_allowed_values":False,</v>
      </c>
      <c r="T21" t="str">
        <f t="shared" si="8"/>
        <v>"allowed_values":""</v>
      </c>
    </row>
    <row r="22" spans="1:20" ht="15" hidden="1" customHeight="1" x14ac:dyDescent="0.15">
      <c r="A22" s="7">
        <v>23</v>
      </c>
      <c r="B22" s="6" t="s">
        <v>126</v>
      </c>
      <c r="C22" s="6" t="s">
        <v>114</v>
      </c>
      <c r="D22" s="4" t="s">
        <v>95</v>
      </c>
      <c r="E22" s="4" t="s">
        <v>592</v>
      </c>
      <c r="F22" s="4">
        <v>0</v>
      </c>
      <c r="H22" s="4" t="s">
        <v>157</v>
      </c>
      <c r="I22" s="4" t="b">
        <v>0</v>
      </c>
      <c r="K22" s="4" t="b">
        <f>IF(COUNTIF($B$2:$B22,B22)&gt;1,TRUE,FALSE)</f>
        <v>0</v>
      </c>
      <c r="L22" t="str">
        <f t="shared" si="0"/>
        <v>p.update({"application":{"manifest":{"type":"named_construct","subtype":"identifier","indent":0,"default_value":"","docs_url":"https://looker.com/docs/r/lookml/types/manifest/application?version=7.14&amp;lookml=new","has_allowed_values":False,"allowed_values":""}}})</v>
      </c>
      <c r="M22" t="str">
        <f t="shared" si="1"/>
        <v>{"application":{"manifest":{"type":"named_construct","subtype":"identifier","indent":0,"default_value":"","docs_url":"https://looker.com/docs/r/lookml/types/manifest/application?version=7.14&amp;lookml=new","has_allowed_values":False,"allowed_values":""}}}</v>
      </c>
      <c r="N22" t="str">
        <f t="shared" si="4"/>
        <v>"type":"named_construct",</v>
      </c>
      <c r="O22" t="str">
        <f t="shared" si="5"/>
        <v>"subtype":"identifier",</v>
      </c>
      <c r="P22" t="str">
        <f t="shared" si="6"/>
        <v>"indent":0,</v>
      </c>
      <c r="Q22" t="str">
        <f t="shared" si="2"/>
        <v>"default_value":"",</v>
      </c>
      <c r="R22" t="str">
        <f t="shared" si="3"/>
        <v>"docs_url":"https://looker.com/docs/r/lookml/types/manifest/application?version=7.14&amp;lookml=new",</v>
      </c>
      <c r="S22" t="str">
        <f t="shared" si="7"/>
        <v>"has_allowed_values":False,</v>
      </c>
      <c r="T22" t="str">
        <f t="shared" si="8"/>
        <v>"allowed_values":""</v>
      </c>
    </row>
    <row r="23" spans="1:20" ht="15" hidden="1" customHeight="1" x14ac:dyDescent="0.15">
      <c r="A23" s="7">
        <v>26</v>
      </c>
      <c r="B23" s="6" t="s">
        <v>12</v>
      </c>
      <c r="C23" s="6" t="s">
        <v>110</v>
      </c>
      <c r="D23" s="4" t="s">
        <v>95</v>
      </c>
      <c r="E23" s="4" t="s">
        <v>592</v>
      </c>
      <c r="F23" s="4">
        <v>1</v>
      </c>
      <c r="H23" s="4" t="s">
        <v>158</v>
      </c>
      <c r="I23" s="4" t="b">
        <v>0</v>
      </c>
      <c r="K23" s="4" t="b">
        <f>IF(COUNTIF($B$2:$B23,B23)&gt;1,TRUE,FALSE)</f>
        <v>0</v>
      </c>
      <c r="L23" t="str">
        <f t="shared" si="0"/>
        <v>p.update({"dimension":{"view":{"type":"named_construct","subtype":"identifier","indent":1,"default_value":"","docs_url":"https://looker.com/docs/r/lookml/types/view/dimension?version=7.14&amp;lookml=new","has_allowed_values":False,"allowed_values":""}}})</v>
      </c>
      <c r="M23" t="str">
        <f t="shared" si="1"/>
        <v>{"dimension":{"view":{"type":"named_construct","subtype":"identifier","indent":1,"default_value":"","docs_url":"https://looker.com/docs/r/lookml/types/view/dimension?version=7.14&amp;lookml=new","has_allowed_values":False,"allowed_values":""}}}</v>
      </c>
      <c r="N23" t="str">
        <f t="shared" si="4"/>
        <v>"type":"named_construct",</v>
      </c>
      <c r="O23" t="str">
        <f t="shared" si="5"/>
        <v>"subtype":"identifier",</v>
      </c>
      <c r="P23" t="str">
        <f t="shared" si="6"/>
        <v>"indent":1,</v>
      </c>
      <c r="Q23" t="str">
        <f t="shared" si="2"/>
        <v>"default_value":"",</v>
      </c>
      <c r="R23" t="str">
        <f t="shared" si="3"/>
        <v>"docs_url":"https://looker.com/docs/r/lookml/types/view/dimension?version=7.14&amp;lookml=new",</v>
      </c>
      <c r="S23" t="str">
        <f t="shared" si="7"/>
        <v>"has_allowed_values":False,</v>
      </c>
      <c r="T23" t="str">
        <f t="shared" si="8"/>
        <v>"allowed_values":""</v>
      </c>
    </row>
    <row r="24" spans="1:20" ht="15" hidden="1" customHeight="1" x14ac:dyDescent="0.15">
      <c r="A24" s="7">
        <v>27</v>
      </c>
      <c r="B24" s="6" t="s">
        <v>123</v>
      </c>
      <c r="C24" s="6" t="s">
        <v>110</v>
      </c>
      <c r="D24" s="4" t="s">
        <v>95</v>
      </c>
      <c r="E24" s="4" t="s">
        <v>592</v>
      </c>
      <c r="F24" s="4">
        <v>1</v>
      </c>
      <c r="H24" s="4" t="s">
        <v>159</v>
      </c>
      <c r="I24" s="4" t="b">
        <v>0</v>
      </c>
      <c r="K24" s="4" t="b">
        <f>IF(COUNTIF($B$2:$B24,B24)&gt;1,TRUE,FALSE)</f>
        <v>0</v>
      </c>
      <c r="L24" t="str">
        <f t="shared" si="0"/>
        <v>p.update({"dimension_group":{"view":{"type":"named_construct","subtype":"identifier","indent":1,"default_value":"","docs_url":"https://looker.com/docs/r/lookml/types/view/dimension_group?version=7.14&amp;lookml=new","has_allowed_values":False,"allowed_values":""}}})</v>
      </c>
      <c r="M24" t="str">
        <f t="shared" si="1"/>
        <v>{"dimension_group":{"view":{"type":"named_construct","subtype":"identifier","indent":1,"default_value":"","docs_url":"https://looker.com/docs/r/lookml/types/view/dimension_group?version=7.14&amp;lookml=new","has_allowed_values":False,"allowed_values":""}}}</v>
      </c>
      <c r="N24" t="str">
        <f t="shared" si="4"/>
        <v>"type":"named_construct",</v>
      </c>
      <c r="O24" t="str">
        <f t="shared" si="5"/>
        <v>"subtype":"identifier",</v>
      </c>
      <c r="P24" t="str">
        <f t="shared" si="6"/>
        <v>"indent":1,</v>
      </c>
      <c r="Q24" t="str">
        <f t="shared" si="2"/>
        <v>"default_value":"",</v>
      </c>
      <c r="R24" t="str">
        <f t="shared" si="3"/>
        <v>"docs_url":"https://looker.com/docs/r/lookml/types/view/dimension_group?version=7.14&amp;lookml=new",</v>
      </c>
      <c r="S24" t="str">
        <f t="shared" si="7"/>
        <v>"has_allowed_values":False,</v>
      </c>
      <c r="T24" t="str">
        <f t="shared" si="8"/>
        <v>"allowed_values":""</v>
      </c>
    </row>
    <row r="25" spans="1:20" ht="15" hidden="1" customHeight="1" x14ac:dyDescent="0.15">
      <c r="A25" s="7">
        <v>28</v>
      </c>
      <c r="B25" s="6" t="s">
        <v>13</v>
      </c>
      <c r="C25" s="6" t="s">
        <v>110</v>
      </c>
      <c r="D25" s="4" t="s">
        <v>17</v>
      </c>
      <c r="E25" s="4" t="s">
        <v>595</v>
      </c>
      <c r="F25" s="4">
        <v>1</v>
      </c>
      <c r="H25" s="4" t="s">
        <v>160</v>
      </c>
      <c r="I25" s="4" t="b">
        <v>0</v>
      </c>
      <c r="K25" s="4" t="b">
        <f>IF(COUNTIF($B$2:$B25,B25)&gt;1,TRUE,FALSE)</f>
        <v>0</v>
      </c>
      <c r="L25" t="str">
        <f t="shared" si="0"/>
        <v>p.update({"drill_fields":{"view":{"type":"list_unquoted","subtype":"field-ref","indent":1,"default_value":"","docs_url":"https://looker.com/docs/r/lookml/types/view/drill_fields?version=7.14&amp;lookml=new","has_allowed_values":False,"allowed_values":""}}})</v>
      </c>
      <c r="M25" t="str">
        <f t="shared" si="1"/>
        <v>{"drill_fields":{"view":{"type":"list_unquoted","subtype":"field-ref","indent":1,"default_value":"","docs_url":"https://looker.com/docs/r/lookml/types/view/drill_fields?version=7.14&amp;lookml=new","has_allowed_values":False,"allowed_values":""}}}</v>
      </c>
      <c r="N25" t="str">
        <f t="shared" si="4"/>
        <v>"type":"list_unquoted",</v>
      </c>
      <c r="O25" t="str">
        <f t="shared" si="5"/>
        <v>"subtype":"field-ref",</v>
      </c>
      <c r="P25" t="str">
        <f t="shared" si="6"/>
        <v>"indent":1,</v>
      </c>
      <c r="Q25" t="str">
        <f t="shared" si="2"/>
        <v>"default_value":"",</v>
      </c>
      <c r="R25" t="str">
        <f t="shared" si="3"/>
        <v>"docs_url":"https://looker.com/docs/r/lookml/types/view/drill_fields?version=7.14&amp;lookml=new",</v>
      </c>
      <c r="S25" t="str">
        <f t="shared" si="7"/>
        <v>"has_allowed_values":False,</v>
      </c>
      <c r="T25" t="str">
        <f t="shared" si="8"/>
        <v>"allowed_values":""</v>
      </c>
    </row>
    <row r="26" spans="1:20" ht="15" hidden="1" customHeight="1" x14ac:dyDescent="0.15">
      <c r="A26" s="7">
        <v>29</v>
      </c>
      <c r="B26" s="6" t="s">
        <v>90</v>
      </c>
      <c r="C26" s="6" t="s">
        <v>110</v>
      </c>
      <c r="D26" s="4" t="s">
        <v>101</v>
      </c>
      <c r="E26" s="4" t="s">
        <v>595</v>
      </c>
      <c r="F26" s="4">
        <v>1</v>
      </c>
      <c r="H26" s="4" t="s">
        <v>161</v>
      </c>
      <c r="I26" s="4" t="b">
        <v>0</v>
      </c>
      <c r="K26" s="4" t="b">
        <f>IF(COUNTIF($B$2:$B26,B26)&gt;1,TRUE,FALSE)</f>
        <v>0</v>
      </c>
      <c r="L26" t="str">
        <f t="shared" si="0"/>
        <v>p.update({"extends":{"view":{"type":"list_unquoted","subtype":"view-ref","indent":1,"default_value":"","docs_url":"https://looker.com/docs/r/lookml/types/view/extends?version=7.14&amp;lookml=new","has_allowed_values":False,"allowed_values":""}}})</v>
      </c>
      <c r="M26" t="str">
        <f t="shared" si="1"/>
        <v>{"extends":{"view":{"type":"list_unquoted","subtype":"view-ref","indent":1,"default_value":"","docs_url":"https://looker.com/docs/r/lookml/types/view/extends?version=7.14&amp;lookml=new","has_allowed_values":False,"allowed_values":""}}}</v>
      </c>
      <c r="N26" t="str">
        <f t="shared" si="4"/>
        <v>"type":"list_unquoted",</v>
      </c>
      <c r="O26" t="str">
        <f t="shared" si="5"/>
        <v>"subtype":"view-ref",</v>
      </c>
      <c r="P26" t="str">
        <f t="shared" si="6"/>
        <v>"indent":1,</v>
      </c>
      <c r="Q26" t="str">
        <f t="shared" si="2"/>
        <v>"default_value":"",</v>
      </c>
      <c r="R26" t="str">
        <f t="shared" si="3"/>
        <v>"docs_url":"https://looker.com/docs/r/lookml/types/view/extends?version=7.14&amp;lookml=new",</v>
      </c>
      <c r="S26" t="str">
        <f t="shared" si="7"/>
        <v>"has_allowed_values":False,</v>
      </c>
      <c r="T26" t="str">
        <f t="shared" si="8"/>
        <v>"allowed_values":""</v>
      </c>
    </row>
    <row r="27" spans="1:20" ht="15" hidden="1" customHeight="1" x14ac:dyDescent="0.15">
      <c r="A27" s="7">
        <v>30</v>
      </c>
      <c r="B27" s="6" t="s">
        <v>91</v>
      </c>
      <c r="C27" s="6" t="s">
        <v>110</v>
      </c>
      <c r="D27" s="4" t="s">
        <v>550</v>
      </c>
      <c r="E27" s="4" t="s">
        <v>550</v>
      </c>
      <c r="F27" s="4">
        <v>1</v>
      </c>
      <c r="G27" s="4" t="s">
        <v>515</v>
      </c>
      <c r="H27" s="4" t="s">
        <v>162</v>
      </c>
      <c r="I27" s="4" t="b">
        <v>1</v>
      </c>
      <c r="J27" s="4" t="s">
        <v>572</v>
      </c>
      <c r="K27" s="4" t="b">
        <f>IF(COUNTIF($B$2:$B27,B27)&gt;1,TRUE,FALSE)</f>
        <v>0</v>
      </c>
      <c r="L27" t="str">
        <f t="shared" si="0"/>
        <v>p.update({"extension":{"view":{"type":"options","subtype":"options","indent":1,"default_value":"required","docs_url":"https://looker.com/docs/r/lookml/types/view/extension?version=7.14&amp;lookml=new","has_allowed_values":True,"allowed_values":["required"]}}})</v>
      </c>
      <c r="M27" t="str">
        <f t="shared" si="1"/>
        <v>{"extension":{"view":{"type":"options","subtype":"options","indent":1,"default_value":"required","docs_url":"https://looker.com/docs/r/lookml/types/view/extension?version=7.14&amp;lookml=new","has_allowed_values":True,"allowed_values":["required"]}}}</v>
      </c>
      <c r="N27" t="str">
        <f t="shared" si="4"/>
        <v>"type":"options",</v>
      </c>
      <c r="O27" t="str">
        <f t="shared" si="5"/>
        <v>"subtype":"options",</v>
      </c>
      <c r="P27" t="str">
        <f t="shared" si="6"/>
        <v>"indent":1,</v>
      </c>
      <c r="Q27" t="str">
        <f t="shared" si="2"/>
        <v>"default_value":"required",</v>
      </c>
      <c r="R27" t="str">
        <f t="shared" si="3"/>
        <v>"docs_url":"https://looker.com/docs/r/lookml/types/view/extension?version=7.14&amp;lookml=new",</v>
      </c>
      <c r="S27" t="str">
        <f t="shared" si="7"/>
        <v>"has_allowed_values":True,</v>
      </c>
      <c r="T27" t="str">
        <f t="shared" si="8"/>
        <v>"allowed_values":["required"]</v>
      </c>
    </row>
    <row r="28" spans="1:20" ht="15" hidden="1" customHeight="1" x14ac:dyDescent="0.15">
      <c r="A28" s="7">
        <v>31</v>
      </c>
      <c r="B28" s="6" t="s">
        <v>124</v>
      </c>
      <c r="C28" s="6" t="s">
        <v>110</v>
      </c>
      <c r="D28" s="4" t="s">
        <v>95</v>
      </c>
      <c r="E28" s="4" t="s">
        <v>592</v>
      </c>
      <c r="F28" s="4">
        <v>1</v>
      </c>
      <c r="H28" s="4" t="s">
        <v>163</v>
      </c>
      <c r="I28" s="4" t="b">
        <v>0</v>
      </c>
      <c r="K28" s="4" t="b">
        <f>IF(COUNTIF($B$2:$B28,B28)&gt;1,TRUE,FALSE)</f>
        <v>0</v>
      </c>
      <c r="L28" t="str">
        <f t="shared" si="0"/>
        <v>p.update({"filter":{"view":{"type":"named_construct","subtype":"identifier","indent":1,"default_value":"","docs_url":"https://looker.com/docs/r/lookml/types/view/filter?version=7.14&amp;lookml=new","has_allowed_values":False,"allowed_values":""}}})</v>
      </c>
      <c r="M28" t="str">
        <f t="shared" si="1"/>
        <v>{"filter":{"view":{"type":"named_construct","subtype":"identifier","indent":1,"default_value":"","docs_url":"https://looker.com/docs/r/lookml/types/view/filter?version=7.14&amp;lookml=new","has_allowed_values":False,"allowed_values":""}}}</v>
      </c>
      <c r="N28" t="str">
        <f t="shared" si="4"/>
        <v>"type":"named_construct",</v>
      </c>
      <c r="O28" t="str">
        <f t="shared" si="5"/>
        <v>"subtype":"identifier",</v>
      </c>
      <c r="P28" t="str">
        <f t="shared" si="6"/>
        <v>"indent":1,</v>
      </c>
      <c r="Q28" t="str">
        <f t="shared" si="2"/>
        <v>"default_value":"",</v>
      </c>
      <c r="R28" t="str">
        <f t="shared" si="3"/>
        <v>"docs_url":"https://looker.com/docs/r/lookml/types/view/filter?version=7.14&amp;lookml=new",</v>
      </c>
      <c r="S28" t="str">
        <f t="shared" si="7"/>
        <v>"has_allowed_values":False,</v>
      </c>
      <c r="T28" t="str">
        <f t="shared" si="8"/>
        <v>"allowed_values":""</v>
      </c>
    </row>
    <row r="29" spans="1:20" ht="15" hidden="1" customHeight="1" x14ac:dyDescent="0.15">
      <c r="A29" s="7">
        <v>32</v>
      </c>
      <c r="B29" s="6" t="s">
        <v>93</v>
      </c>
      <c r="C29" s="6" t="s">
        <v>110</v>
      </c>
      <c r="D29" s="4" t="s">
        <v>568</v>
      </c>
      <c r="E29" s="4" t="s">
        <v>568</v>
      </c>
      <c r="F29" s="4">
        <v>1</v>
      </c>
      <c r="G29" s="4" t="s">
        <v>603</v>
      </c>
      <c r="H29" s="4" t="s">
        <v>164</v>
      </c>
      <c r="I29" s="4" t="b">
        <v>0</v>
      </c>
      <c r="K29" s="4" t="b">
        <f>IF(COUNTIF($B$2:$B29,B29)&gt;1,TRUE,FALSE)</f>
        <v>0</v>
      </c>
      <c r="L29" t="str">
        <f t="shared" si="0"/>
        <v>p.update({"final":{"view":{"type":"yesno","subtype":"yesno","indent":1,"default_value":"no","docs_url":"https://looker.com/docs/r/lookml/types/view/final?version=7.14&amp;lookml=new","has_allowed_values":False,"allowed_values":""}}})</v>
      </c>
      <c r="M29" t="str">
        <f t="shared" si="1"/>
        <v>{"final":{"view":{"type":"yesno","subtype":"yesno","indent":1,"default_value":"no","docs_url":"https://looker.com/docs/r/lookml/types/view/final?version=7.14&amp;lookml=new","has_allowed_values":False,"allowed_values":""}}}</v>
      </c>
      <c r="N29" t="str">
        <f t="shared" si="4"/>
        <v>"type":"yesno",</v>
      </c>
      <c r="O29" t="str">
        <f t="shared" si="5"/>
        <v>"subtype":"yesno",</v>
      </c>
      <c r="P29" t="str">
        <f t="shared" si="6"/>
        <v>"indent":1,</v>
      </c>
      <c r="Q29" t="str">
        <f t="shared" si="2"/>
        <v>"default_value":"no",</v>
      </c>
      <c r="R29" t="str">
        <f t="shared" si="3"/>
        <v>"docs_url":"https://looker.com/docs/r/lookml/types/view/final?version=7.14&amp;lookml=new",</v>
      </c>
      <c r="S29" t="str">
        <f t="shared" si="7"/>
        <v>"has_allowed_values":False,</v>
      </c>
      <c r="T29" t="str">
        <f t="shared" si="8"/>
        <v>"allowed_values":""</v>
      </c>
    </row>
    <row r="30" spans="1:20" ht="15" hidden="1" customHeight="1" x14ac:dyDescent="0.15">
      <c r="A30" s="7">
        <v>33</v>
      </c>
      <c r="B30" s="6" t="s">
        <v>23</v>
      </c>
      <c r="C30" s="6" t="s">
        <v>110</v>
      </c>
      <c r="D30" s="4" t="s">
        <v>29</v>
      </c>
      <c r="E30" s="4" t="s">
        <v>0</v>
      </c>
      <c r="F30" s="4">
        <v>1</v>
      </c>
      <c r="G30" s="4" t="s">
        <v>591</v>
      </c>
      <c r="H30" s="4" t="s">
        <v>165</v>
      </c>
      <c r="I30" s="4" t="b">
        <v>0</v>
      </c>
      <c r="K30" s="4" t="b">
        <f>IF(COUNTIF($B$2:$B30,B30)&gt;1,TRUE,FALSE)</f>
        <v>1</v>
      </c>
      <c r="L30" t="str">
        <f t="shared" si="0"/>
        <v>p["label"].update({"view":{"type":"string","subtype":"possibly-localized-string","indent":1,"default_value":"","docs_url":"https://looker.com/docs/r/lookml/types/view/label?version=7.14&amp;lookml=new","has_allowed_values":False,"allowed_values":""}})</v>
      </c>
      <c r="M30" t="str">
        <f t="shared" si="1"/>
        <v>{"label":{"view":{"type":"string","subtype":"possibly-localized-string","indent":1,"default_value":"","docs_url":"https://looker.com/docs/r/lookml/types/view/label?version=7.14&amp;lookml=new","has_allowed_values":False,"allowed_values":""}}}</v>
      </c>
      <c r="N30" t="str">
        <f t="shared" si="4"/>
        <v>"type":"string",</v>
      </c>
      <c r="O30" t="str">
        <f t="shared" si="5"/>
        <v>"subtype":"possibly-localized-string",</v>
      </c>
      <c r="P30" t="str">
        <f t="shared" si="6"/>
        <v>"indent":1,</v>
      </c>
      <c r="Q30" t="str">
        <f t="shared" si="2"/>
        <v>"default_value":"",</v>
      </c>
      <c r="R30" t="str">
        <f t="shared" si="3"/>
        <v>"docs_url":"https://looker.com/docs/r/lookml/types/view/label?version=7.14&amp;lookml=new",</v>
      </c>
      <c r="S30" t="str">
        <f t="shared" si="7"/>
        <v>"has_allowed_values":False,</v>
      </c>
      <c r="T30" t="str">
        <f t="shared" si="8"/>
        <v>"allowed_values":""</v>
      </c>
    </row>
    <row r="31" spans="1:20" ht="15" hidden="1" customHeight="1" x14ac:dyDescent="0.15">
      <c r="A31" s="7">
        <v>34</v>
      </c>
      <c r="B31" s="6" t="s">
        <v>61</v>
      </c>
      <c r="C31" s="6" t="s">
        <v>110</v>
      </c>
      <c r="D31" s="4" t="s">
        <v>95</v>
      </c>
      <c r="E31" s="4" t="s">
        <v>592</v>
      </c>
      <c r="F31" s="4">
        <v>1</v>
      </c>
      <c r="H31" s="4" t="s">
        <v>166</v>
      </c>
      <c r="I31" s="4" t="b">
        <v>0</v>
      </c>
      <c r="K31" s="4" t="b">
        <f>IF(COUNTIF($B$2:$B31,B31)&gt;1,TRUE,FALSE)</f>
        <v>0</v>
      </c>
      <c r="L31" t="str">
        <f t="shared" si="0"/>
        <v>p.update({"measure":{"view":{"type":"named_construct","subtype":"identifier","indent":1,"default_value":"","docs_url":"https://looker.com/docs/r/lookml/types/view/measure?version=7.14&amp;lookml=new","has_allowed_values":False,"allowed_values":""}}})</v>
      </c>
      <c r="M31" t="str">
        <f t="shared" si="1"/>
        <v>{"measure":{"view":{"type":"named_construct","subtype":"identifier","indent":1,"default_value":"","docs_url":"https://looker.com/docs/r/lookml/types/view/measure?version=7.14&amp;lookml=new","has_allowed_values":False,"allowed_values":""}}}</v>
      </c>
      <c r="N31" t="str">
        <f t="shared" si="4"/>
        <v>"type":"named_construct",</v>
      </c>
      <c r="O31" t="str">
        <f t="shared" si="5"/>
        <v>"subtype":"identifier",</v>
      </c>
      <c r="P31" t="str">
        <f t="shared" si="6"/>
        <v>"indent":1,</v>
      </c>
      <c r="Q31" t="str">
        <f t="shared" si="2"/>
        <v>"default_value":"",</v>
      </c>
      <c r="R31" t="str">
        <f t="shared" si="3"/>
        <v>"docs_url":"https://looker.com/docs/r/lookml/types/view/measure?version=7.14&amp;lookml=new",</v>
      </c>
      <c r="S31" t="str">
        <f t="shared" si="7"/>
        <v>"has_allowed_values":False,</v>
      </c>
      <c r="T31" t="str">
        <f t="shared" si="8"/>
        <v>"allowed_values":""</v>
      </c>
    </row>
    <row r="32" spans="1:20" ht="15" hidden="1" customHeight="1" x14ac:dyDescent="0.15">
      <c r="A32" s="7">
        <v>35</v>
      </c>
      <c r="B32" s="6" t="s">
        <v>125</v>
      </c>
      <c r="C32" s="6" t="s">
        <v>110</v>
      </c>
      <c r="D32" s="4" t="s">
        <v>95</v>
      </c>
      <c r="E32" s="4" t="s">
        <v>592</v>
      </c>
      <c r="F32" s="4">
        <v>1</v>
      </c>
      <c r="H32" s="4" t="s">
        <v>167</v>
      </c>
      <c r="I32" s="4" t="b">
        <v>0</v>
      </c>
      <c r="K32" s="4" t="b">
        <f>IF(COUNTIF($B$2:$B32,B32)&gt;1,TRUE,FALSE)</f>
        <v>0</v>
      </c>
      <c r="L32" t="str">
        <f t="shared" si="0"/>
        <v>p.update({"parameter":{"view":{"type":"named_construct","subtype":"identifier","indent":1,"default_value":"","docs_url":"https://looker.com/docs/r/lookml/types/view/parameter?version=7.14&amp;lookml=new","has_allowed_values":False,"allowed_values":""}}})</v>
      </c>
      <c r="M32" t="str">
        <f t="shared" si="1"/>
        <v>{"parameter":{"view":{"type":"named_construct","subtype":"identifier","indent":1,"default_value":"","docs_url":"https://looker.com/docs/r/lookml/types/view/parameter?version=7.14&amp;lookml=new","has_allowed_values":False,"allowed_values":""}}}</v>
      </c>
      <c r="N32" t="str">
        <f t="shared" si="4"/>
        <v>"type":"named_construct",</v>
      </c>
      <c r="O32" t="str">
        <f t="shared" si="5"/>
        <v>"subtype":"identifier",</v>
      </c>
      <c r="P32" t="str">
        <f t="shared" si="6"/>
        <v>"indent":1,</v>
      </c>
      <c r="Q32" t="str">
        <f t="shared" si="2"/>
        <v>"default_value":"",</v>
      </c>
      <c r="R32" t="str">
        <f t="shared" si="3"/>
        <v>"docs_url":"https://looker.com/docs/r/lookml/types/view/parameter?version=7.14&amp;lookml=new",</v>
      </c>
      <c r="S32" t="str">
        <f t="shared" si="7"/>
        <v>"has_allowed_values":False,</v>
      </c>
      <c r="T32" t="str">
        <f t="shared" si="8"/>
        <v>"allowed_values":""</v>
      </c>
    </row>
    <row r="33" spans="1:20" ht="15" hidden="1" customHeight="1" x14ac:dyDescent="0.15">
      <c r="A33" s="7">
        <v>36</v>
      </c>
      <c r="B33" s="6" t="s">
        <v>70</v>
      </c>
      <c r="C33" s="6" t="s">
        <v>110</v>
      </c>
      <c r="D33" s="4" t="s">
        <v>539</v>
      </c>
      <c r="E33" s="4" t="s">
        <v>539</v>
      </c>
      <c r="F33" s="4">
        <v>1</v>
      </c>
      <c r="H33" s="4" t="s">
        <v>168</v>
      </c>
      <c r="I33" s="4" t="b">
        <v>0</v>
      </c>
      <c r="K33" s="4" t="b">
        <f>IF(COUNTIF($B$2:$B33,B33)&gt;1,TRUE,FALSE)</f>
        <v>0</v>
      </c>
      <c r="L33" t="str">
        <f t="shared" si="0"/>
        <v>p.update({"derived_table":{"view":{"type":"anonymous_construct","subtype":"anonymous_construct","indent":1,"default_value":"","docs_url":"https://looker.com/docs/r/lookml/types/view/derived_table?version=7.14&amp;lookml=new","has_allowed_values":False,"allowed_values":""}}})</v>
      </c>
      <c r="M33" t="str">
        <f t="shared" si="1"/>
        <v>{"derived_table":{"view":{"type":"anonymous_construct","subtype":"anonymous_construct","indent":1,"default_value":"","docs_url":"https://looker.com/docs/r/lookml/types/view/derived_table?version=7.14&amp;lookml=new","has_allowed_values":False,"allowed_values":""}}}</v>
      </c>
      <c r="N33" t="str">
        <f t="shared" si="4"/>
        <v>"type":"anonymous_construct",</v>
      </c>
      <c r="O33" t="str">
        <f t="shared" si="5"/>
        <v>"subtype":"anonymous_construct",</v>
      </c>
      <c r="P33" t="str">
        <f t="shared" si="6"/>
        <v>"indent":1,</v>
      </c>
      <c r="Q33" t="str">
        <f t="shared" si="2"/>
        <v>"default_value":"",</v>
      </c>
      <c r="R33" t="str">
        <f t="shared" si="3"/>
        <v>"docs_url":"https://looker.com/docs/r/lookml/types/view/derived_table?version=7.14&amp;lookml=new",</v>
      </c>
      <c r="S33" t="str">
        <f t="shared" si="7"/>
        <v>"has_allowed_values":False,</v>
      </c>
      <c r="T33" t="str">
        <f t="shared" si="8"/>
        <v>"allowed_values":""</v>
      </c>
    </row>
    <row r="34" spans="1:20" ht="15" hidden="1" customHeight="1" x14ac:dyDescent="0.15">
      <c r="A34" s="7">
        <v>37</v>
      </c>
      <c r="B34" s="6" t="s">
        <v>31</v>
      </c>
      <c r="C34" s="6" t="s">
        <v>110</v>
      </c>
      <c r="D34" s="4" t="s">
        <v>610</v>
      </c>
      <c r="E34" s="4" t="s">
        <v>595</v>
      </c>
      <c r="F34" s="4">
        <v>1</v>
      </c>
      <c r="H34" s="4" t="s">
        <v>169</v>
      </c>
      <c r="I34" s="4" t="b">
        <v>0</v>
      </c>
      <c r="K34" s="4" t="b">
        <f>IF(COUNTIF($B$2:$B34,B34)&gt;1,TRUE,FALSE)</f>
        <v>0</v>
      </c>
      <c r="L34" t="str">
        <f t="shared" si="0"/>
        <v>p.update({"required_access_grants":{"view":{"type":"list_unquoted","subtype":"access-grant-ref","indent":1,"default_value":"","docs_url":"https://looker.com/docs/r/lookml/types/view/required_access_grants?version=7.14&amp;lookml=new","has_allowed_values":False,"allowed_values":""}}})</v>
      </c>
      <c r="M34" t="str">
        <f t="shared" si="1"/>
        <v>{"required_access_grants":{"view":{"type":"list_unquoted","subtype":"access-grant-ref","indent":1,"default_value":"","docs_url":"https://looker.com/docs/r/lookml/types/view/required_access_grants?version=7.14&amp;lookml=new","has_allowed_values":False,"allowed_values":""}}}</v>
      </c>
      <c r="N34" t="str">
        <f t="shared" si="4"/>
        <v>"type":"list_unquoted",</v>
      </c>
      <c r="O34" t="str">
        <f t="shared" si="5"/>
        <v>"subtype":"access-grant-ref",</v>
      </c>
      <c r="P34" t="str">
        <f t="shared" si="6"/>
        <v>"indent":1,</v>
      </c>
      <c r="Q34" t="str">
        <f t="shared" ref="Q34:Q65" si="9">"""default_value"":"&amp;IF(G34="""""",""""",",IF(LEFT(G34,1)="[",G34,""""&amp;G34&amp;"""")&amp;",")</f>
        <v>"default_value":"",</v>
      </c>
      <c r="R34" t="str">
        <f t="shared" ref="R34:R66" si="10">"""docs_url"":"&amp;""""&amp;H34&amp;""","</f>
        <v>"docs_url":"https://looker.com/docs/r/lookml/types/view/required_access_grants?version=7.14&amp;lookml=new",</v>
      </c>
      <c r="S34" t="str">
        <f t="shared" si="7"/>
        <v>"has_allowed_values":False,</v>
      </c>
      <c r="T34" t="str">
        <f t="shared" si="8"/>
        <v>"allowed_values":""</v>
      </c>
    </row>
    <row r="35" spans="1:20" ht="15" hidden="1" customHeight="1" x14ac:dyDescent="0.15">
      <c r="A35" s="7">
        <v>38</v>
      </c>
      <c r="B35" s="6" t="s">
        <v>136</v>
      </c>
      <c r="C35" s="6" t="s">
        <v>110</v>
      </c>
      <c r="D35" s="4" t="s">
        <v>95</v>
      </c>
      <c r="E35" s="4" t="s">
        <v>592</v>
      </c>
      <c r="F35" s="4">
        <v>1</v>
      </c>
      <c r="H35" s="4" t="s">
        <v>170</v>
      </c>
      <c r="I35" s="4" t="b">
        <v>0</v>
      </c>
      <c r="K35" s="4" t="b">
        <f>IF(COUNTIF($B$2:$B35,B35)&gt;1,TRUE,FALSE)</f>
        <v>0</v>
      </c>
      <c r="L35" t="str">
        <f t="shared" si="0"/>
        <v>p.update({"set":{"view":{"type":"named_construct","subtype":"identifier","indent":1,"default_value":"","docs_url":"https://looker.com/docs/r/lookml/types/view/set?version=7.14&amp;lookml=new","has_allowed_values":False,"allowed_values":""}}})</v>
      </c>
      <c r="M35" t="str">
        <f t="shared" si="1"/>
        <v>{"set":{"view":{"type":"named_construct","subtype":"identifier","indent":1,"default_value":"","docs_url":"https://looker.com/docs/r/lookml/types/view/set?version=7.14&amp;lookml=new","has_allowed_values":False,"allowed_values":""}}}</v>
      </c>
      <c r="N35" t="str">
        <f t="shared" si="4"/>
        <v>"type":"named_construct",</v>
      </c>
      <c r="O35" t="str">
        <f t="shared" si="5"/>
        <v>"subtype":"identifier",</v>
      </c>
      <c r="P35" t="str">
        <f t="shared" si="6"/>
        <v>"indent":1,</v>
      </c>
      <c r="Q35" t="str">
        <f t="shared" si="9"/>
        <v>"default_value":"",</v>
      </c>
      <c r="R35" t="str">
        <f t="shared" si="10"/>
        <v>"docs_url":"https://looker.com/docs/r/lookml/types/view/set?version=7.14&amp;lookml=new",</v>
      </c>
      <c r="S35" t="str">
        <f t="shared" si="7"/>
        <v>"has_allowed_values":False,</v>
      </c>
      <c r="T35" t="str">
        <f t="shared" si="8"/>
        <v>"allowed_values":""</v>
      </c>
    </row>
    <row r="36" spans="1:20" ht="15" hidden="1" customHeight="1" x14ac:dyDescent="0.15">
      <c r="A36" s="7">
        <v>39</v>
      </c>
      <c r="B36" s="6" t="s">
        <v>100</v>
      </c>
      <c r="C36" s="6" t="s">
        <v>110</v>
      </c>
      <c r="D36" s="4" t="s">
        <v>611</v>
      </c>
      <c r="E36" s="4" t="s">
        <v>34</v>
      </c>
      <c r="F36" s="4">
        <v>1</v>
      </c>
      <c r="G36" s="4" t="s">
        <v>591</v>
      </c>
      <c r="H36" s="4" t="s">
        <v>171</v>
      </c>
      <c r="I36" s="4" t="b">
        <v>0</v>
      </c>
      <c r="K36" s="4" t="b">
        <f>IF(COUNTIF($B$2:$B36,B36)&gt;1,TRUE,FALSE)</f>
        <v>0</v>
      </c>
      <c r="L36" t="str">
        <f t="shared" si="0"/>
        <v>p.update({"sql_table_name":{"view":{"type":"sql","subtype":"sql-block ","indent":1,"default_value":"","docs_url":"https://looker.com/docs/r/lookml/types/view/sql_table_name?version=7.14&amp;lookml=new","has_allowed_values":False,"allowed_values":""}}})</v>
      </c>
      <c r="M36" t="str">
        <f t="shared" si="1"/>
        <v>{"sql_table_name":{"view":{"type":"sql","subtype":"sql-block ","indent":1,"default_value":"","docs_url":"https://looker.com/docs/r/lookml/types/view/sql_table_name?version=7.14&amp;lookml=new","has_allowed_values":False,"allowed_values":""}}}</v>
      </c>
      <c r="N36" t="str">
        <f t="shared" si="4"/>
        <v>"type":"sql",</v>
      </c>
      <c r="O36" t="str">
        <f t="shared" si="5"/>
        <v>"subtype":"sql-block ",</v>
      </c>
      <c r="P36" t="str">
        <f t="shared" si="6"/>
        <v>"indent":1,</v>
      </c>
      <c r="Q36" t="str">
        <f t="shared" si="9"/>
        <v>"default_value":"",</v>
      </c>
      <c r="R36" t="str">
        <f t="shared" si="10"/>
        <v>"docs_url":"https://looker.com/docs/r/lookml/types/view/sql_table_name?version=7.14&amp;lookml=new",</v>
      </c>
      <c r="S36" t="str">
        <f t="shared" si="7"/>
        <v>"has_allowed_values":False,</v>
      </c>
      <c r="T36" t="str">
        <f t="shared" si="8"/>
        <v>"allowed_values":""</v>
      </c>
    </row>
    <row r="37" spans="1:20" ht="15" hidden="1" customHeight="1" x14ac:dyDescent="0.15">
      <c r="A37" s="7">
        <v>40</v>
      </c>
      <c r="B37" s="6" t="s">
        <v>46</v>
      </c>
      <c r="C37" s="6" t="s">
        <v>110</v>
      </c>
      <c r="D37" s="4" t="s">
        <v>568</v>
      </c>
      <c r="E37" s="4" t="s">
        <v>568</v>
      </c>
      <c r="F37" s="4">
        <v>1</v>
      </c>
      <c r="G37" s="4" t="s">
        <v>604</v>
      </c>
      <c r="H37" s="4" t="s">
        <v>172</v>
      </c>
      <c r="I37" s="4" t="b">
        <v>0</v>
      </c>
      <c r="K37" s="4" t="b">
        <f>IF(COUNTIF($B$2:$B37,B37)&gt;1,TRUE,FALSE)</f>
        <v>0</v>
      </c>
      <c r="L37" t="str">
        <f t="shared" si="0"/>
        <v>p.update({"suggestions":{"view":{"type":"yesno","subtype":"yesno","indent":1,"default_value":"yes","docs_url":"https://looker.com/docs/r/lookml/types/view/suggestions?version=7.14&amp;lookml=new","has_allowed_values":False,"allowed_values":""}}})</v>
      </c>
      <c r="M37" t="str">
        <f t="shared" si="1"/>
        <v>{"suggestions":{"view":{"type":"yesno","subtype":"yesno","indent":1,"default_value":"yes","docs_url":"https://looker.com/docs/r/lookml/types/view/suggestions?version=7.14&amp;lookml=new","has_allowed_values":False,"allowed_values":""}}}</v>
      </c>
      <c r="N37" t="str">
        <f t="shared" si="4"/>
        <v>"type":"yesno",</v>
      </c>
      <c r="O37" t="str">
        <f t="shared" si="5"/>
        <v>"subtype":"yesno",</v>
      </c>
      <c r="P37" t="str">
        <f t="shared" si="6"/>
        <v>"indent":1,</v>
      </c>
      <c r="Q37" t="str">
        <f t="shared" si="9"/>
        <v>"default_value":"yes",</v>
      </c>
      <c r="R37" t="str">
        <f t="shared" si="10"/>
        <v>"docs_url":"https://looker.com/docs/r/lookml/types/view/suggestions?version=7.14&amp;lookml=new",</v>
      </c>
      <c r="S37" t="str">
        <f t="shared" si="7"/>
        <v>"has_allowed_values":False,</v>
      </c>
      <c r="T37" t="str">
        <f t="shared" si="8"/>
        <v>"allowed_values":""</v>
      </c>
    </row>
    <row r="38" spans="1:20" ht="15" hidden="1" customHeight="1" x14ac:dyDescent="0.15">
      <c r="A38" s="7">
        <v>41</v>
      </c>
      <c r="B38" s="6" t="s">
        <v>54</v>
      </c>
      <c r="C38" s="6" t="s">
        <v>110</v>
      </c>
      <c r="D38" s="4" t="s">
        <v>29</v>
      </c>
      <c r="E38" s="4" t="s">
        <v>0</v>
      </c>
      <c r="F38" s="4">
        <v>1</v>
      </c>
      <c r="G38" s="4" t="s">
        <v>591</v>
      </c>
      <c r="H38" s="4" t="s">
        <v>173</v>
      </c>
      <c r="I38" s="4" t="b">
        <v>0</v>
      </c>
      <c r="K38" s="4" t="b">
        <f>IF(COUNTIF($B$2:$B38,B38)&gt;1,TRUE,FALSE)</f>
        <v>0</v>
      </c>
      <c r="L38" t="str">
        <f t="shared" si="0"/>
        <v>p.update({"view_label":{"view":{"type":"string","subtype":"possibly-localized-string","indent":1,"default_value":"","docs_url":"https://looker.com/docs/r/lookml/types/view/view_label?version=7.14&amp;lookml=new","has_allowed_values":False,"allowed_values":""}}})</v>
      </c>
      <c r="M38" t="str">
        <f t="shared" si="1"/>
        <v>{"view_label":{"view":{"type":"string","subtype":"possibly-localized-string","indent":1,"default_value":"","docs_url":"https://looker.com/docs/r/lookml/types/view/view_label?version=7.14&amp;lookml=new","has_allowed_values":False,"allowed_values":""}}}</v>
      </c>
      <c r="N38" t="str">
        <f t="shared" si="4"/>
        <v>"type":"string",</v>
      </c>
      <c r="O38" t="str">
        <f t="shared" si="5"/>
        <v>"subtype":"possibly-localized-string",</v>
      </c>
      <c r="P38" t="str">
        <f t="shared" si="6"/>
        <v>"indent":1,</v>
      </c>
      <c r="Q38" t="str">
        <f t="shared" si="9"/>
        <v>"default_value":"",</v>
      </c>
      <c r="R38" t="str">
        <f t="shared" si="10"/>
        <v>"docs_url":"https://looker.com/docs/r/lookml/types/view/view_label?version=7.14&amp;lookml=new",</v>
      </c>
      <c r="S38" t="str">
        <f t="shared" si="7"/>
        <v>"has_allowed_values":False,</v>
      </c>
      <c r="T38" t="str">
        <f t="shared" si="8"/>
        <v>"allowed_values":""</v>
      </c>
    </row>
    <row r="39" spans="1:20" ht="15" hidden="1" customHeight="1" x14ac:dyDescent="0.15">
      <c r="A39" s="7">
        <v>44</v>
      </c>
      <c r="B39" s="6" t="s">
        <v>83</v>
      </c>
      <c r="C39" s="6" t="s">
        <v>89</v>
      </c>
      <c r="D39" s="4" t="s">
        <v>540</v>
      </c>
      <c r="E39" s="4" t="s">
        <v>540</v>
      </c>
      <c r="F39" s="4">
        <v>1</v>
      </c>
      <c r="H39" s="4" t="s">
        <v>174</v>
      </c>
      <c r="I39" s="4" t="b">
        <v>0</v>
      </c>
      <c r="K39" s="4" t="b">
        <f>IF(COUNTIF($B$2:$B39,B39)&gt;1,TRUE,FALSE)</f>
        <v>0</v>
      </c>
      <c r="L39" t="str">
        <f t="shared" si="0"/>
        <v>p.update({"access_filter":{"explore":{"type":"anonymous_construct_plural","subtype":"anonymous_construct_plural","indent":1,"default_value":"","docs_url":"https://looker.com/docs/r/lookml/types/explore/access_filter?version=7.14&amp;lookml=new","has_allowed_values":False,"allowed_values":""}}})</v>
      </c>
      <c r="M39" t="str">
        <f t="shared" si="1"/>
        <v>{"access_filter":{"explore":{"type":"anonymous_construct_plural","subtype":"anonymous_construct_plural","indent":1,"default_value":"","docs_url":"https://looker.com/docs/r/lookml/types/explore/access_filter?version=7.14&amp;lookml=new","has_allowed_values":False,"allowed_values":""}}}</v>
      </c>
      <c r="N39" t="str">
        <f t="shared" si="4"/>
        <v>"type":"anonymous_construct_plural",</v>
      </c>
      <c r="O39" t="str">
        <f t="shared" si="5"/>
        <v>"subtype":"anonymous_construct_plural",</v>
      </c>
      <c r="P39" t="str">
        <f t="shared" si="6"/>
        <v>"indent":1,</v>
      </c>
      <c r="Q39" t="str">
        <f t="shared" si="9"/>
        <v>"default_value":"",</v>
      </c>
      <c r="R39" t="str">
        <f t="shared" si="10"/>
        <v>"docs_url":"https://looker.com/docs/r/lookml/types/explore/access_filter?version=7.14&amp;lookml=new",</v>
      </c>
      <c r="S39" t="str">
        <f t="shared" si="7"/>
        <v>"has_allowed_values":False,</v>
      </c>
      <c r="T39" t="str">
        <f t="shared" si="8"/>
        <v>"allowed_values":""</v>
      </c>
    </row>
    <row r="40" spans="1:20" ht="15" hidden="1" customHeight="1" x14ac:dyDescent="0.15">
      <c r="A40" s="7">
        <v>45</v>
      </c>
      <c r="B40" s="6" t="s">
        <v>84</v>
      </c>
      <c r="C40" s="6" t="s">
        <v>89</v>
      </c>
      <c r="D40" s="4" t="s">
        <v>95</v>
      </c>
      <c r="E40" s="4" t="s">
        <v>592</v>
      </c>
      <c r="F40" s="4">
        <v>1</v>
      </c>
      <c r="H40" s="4" t="s">
        <v>175</v>
      </c>
      <c r="I40" s="4" t="b">
        <v>0</v>
      </c>
      <c r="K40" s="4" t="b">
        <f>IF(COUNTIF($B$2:$B40,B40)&gt;1,TRUE,FALSE)</f>
        <v>0</v>
      </c>
      <c r="L40" t="str">
        <f t="shared" si="0"/>
        <v>p.update({"aggregate_table":{"explore":{"type":"named_construct","subtype":"identifier","indent":1,"default_value":"","docs_url":"https://looker.com/docs/r/lookml/types/explore/aggregate_table?version=7.14&amp;lookml=new","has_allowed_values":False,"allowed_values":""}}})</v>
      </c>
      <c r="M40" t="str">
        <f t="shared" si="1"/>
        <v>{"aggregate_table":{"explore":{"type":"named_construct","subtype":"identifier","indent":1,"default_value":"","docs_url":"https://looker.com/docs/r/lookml/types/explore/aggregate_table?version=7.14&amp;lookml=new","has_allowed_values":False,"allowed_values":""}}}</v>
      </c>
      <c r="N40" t="str">
        <f t="shared" si="4"/>
        <v>"type":"named_construct",</v>
      </c>
      <c r="O40" t="str">
        <f t="shared" si="5"/>
        <v>"subtype":"identifier",</v>
      </c>
      <c r="P40" t="str">
        <f t="shared" si="6"/>
        <v>"indent":1,</v>
      </c>
      <c r="Q40" t="str">
        <f t="shared" si="9"/>
        <v>"default_value":"",</v>
      </c>
      <c r="R40" t="str">
        <f t="shared" si="10"/>
        <v>"docs_url":"https://looker.com/docs/r/lookml/types/explore/aggregate_table?version=7.14&amp;lookml=new",</v>
      </c>
      <c r="S40" t="str">
        <f t="shared" si="7"/>
        <v>"has_allowed_values":False,</v>
      </c>
      <c r="T40" t="str">
        <f t="shared" si="8"/>
        <v>"allowed_values":""</v>
      </c>
    </row>
    <row r="41" spans="1:20" ht="15" hidden="1" customHeight="1" x14ac:dyDescent="0.15">
      <c r="A41" s="7">
        <v>46</v>
      </c>
      <c r="B41" s="6" t="s">
        <v>85</v>
      </c>
      <c r="C41" s="6" t="s">
        <v>89</v>
      </c>
      <c r="D41" s="4" t="s">
        <v>540</v>
      </c>
      <c r="E41" s="4" t="s">
        <v>540</v>
      </c>
      <c r="F41" s="4">
        <v>1</v>
      </c>
      <c r="H41" s="4" t="s">
        <v>176</v>
      </c>
      <c r="I41" s="4" t="b">
        <v>0</v>
      </c>
      <c r="K41" s="4" t="b">
        <f>IF(COUNTIF($B$2:$B41,B41)&gt;1,TRUE,FALSE)</f>
        <v>0</v>
      </c>
      <c r="L41" t="str">
        <f t="shared" si="0"/>
        <v>p.update({"always_filter":{"explore":{"type":"anonymous_construct_plural","subtype":"anonymous_construct_plural","indent":1,"default_value":"","docs_url":"https://looker.com/docs/r/lookml/types/explore/always_filter?version=7.14&amp;lookml=new","has_allowed_values":False,"allowed_values":""}}})</v>
      </c>
      <c r="M41" t="str">
        <f t="shared" si="1"/>
        <v>{"always_filter":{"explore":{"type":"anonymous_construct_plural","subtype":"anonymous_construct_plural","indent":1,"default_value":"","docs_url":"https://looker.com/docs/r/lookml/types/explore/always_filter?version=7.14&amp;lookml=new","has_allowed_values":False,"allowed_values":""}}}</v>
      </c>
      <c r="N41" t="str">
        <f t="shared" si="4"/>
        <v>"type":"anonymous_construct_plural",</v>
      </c>
      <c r="O41" t="str">
        <f t="shared" si="5"/>
        <v>"subtype":"anonymous_construct_plural",</v>
      </c>
      <c r="P41" t="str">
        <f t="shared" si="6"/>
        <v>"indent":1,</v>
      </c>
      <c r="Q41" t="str">
        <f t="shared" si="9"/>
        <v>"default_value":"",</v>
      </c>
      <c r="R41" t="str">
        <f t="shared" si="10"/>
        <v>"docs_url":"https://looker.com/docs/r/lookml/types/explore/always_filter?version=7.14&amp;lookml=new",</v>
      </c>
      <c r="S41" t="str">
        <f t="shared" si="7"/>
        <v>"has_allowed_values":False,</v>
      </c>
      <c r="T41" t="str">
        <f t="shared" si="8"/>
        <v>"allowed_values":""</v>
      </c>
    </row>
    <row r="42" spans="1:20" ht="15" hidden="1" customHeight="1" x14ac:dyDescent="0.15">
      <c r="A42" s="7">
        <v>47</v>
      </c>
      <c r="B42" s="6" t="s">
        <v>86</v>
      </c>
      <c r="C42" s="6" t="s">
        <v>89</v>
      </c>
      <c r="D42" s="4" t="s">
        <v>101</v>
      </c>
      <c r="E42" s="4" t="s">
        <v>595</v>
      </c>
      <c r="F42" s="4">
        <v>1</v>
      </c>
      <c r="H42" s="4" t="s">
        <v>177</v>
      </c>
      <c r="I42" s="4" t="b">
        <v>0</v>
      </c>
      <c r="K42" s="4" t="b">
        <f>IF(COUNTIF($B$2:$B42,B42)&gt;1,TRUE,FALSE)</f>
        <v>0</v>
      </c>
      <c r="L42" t="str">
        <f t="shared" si="0"/>
        <v>p.update({"always_join":{"explore":{"type":"list_unquoted","subtype":"view-ref","indent":1,"default_value":"","docs_url":"https://looker.com/docs/r/lookml/types/explore/always_join?version=7.14&amp;lookml=new","has_allowed_values":False,"allowed_values":""}}})</v>
      </c>
      <c r="M42" t="str">
        <f t="shared" si="1"/>
        <v>{"always_join":{"explore":{"type":"list_unquoted","subtype":"view-ref","indent":1,"default_value":"","docs_url":"https://looker.com/docs/r/lookml/types/explore/always_join?version=7.14&amp;lookml=new","has_allowed_values":False,"allowed_values":""}}}</v>
      </c>
      <c r="N42" t="str">
        <f t="shared" si="4"/>
        <v>"type":"list_unquoted",</v>
      </c>
      <c r="O42" t="str">
        <f t="shared" si="5"/>
        <v>"subtype":"view-ref",</v>
      </c>
      <c r="P42" t="str">
        <f t="shared" si="6"/>
        <v>"indent":1,</v>
      </c>
      <c r="Q42" t="str">
        <f t="shared" si="9"/>
        <v>"default_value":"",</v>
      </c>
      <c r="R42" t="str">
        <f t="shared" si="10"/>
        <v>"docs_url":"https://looker.com/docs/r/lookml/types/explore/always_join?version=7.14&amp;lookml=new",</v>
      </c>
      <c r="S42" t="str">
        <f t="shared" si="7"/>
        <v>"has_allowed_values":False,</v>
      </c>
      <c r="T42" t="str">
        <f t="shared" si="8"/>
        <v>"allowed_values":""</v>
      </c>
    </row>
    <row r="43" spans="1:20" ht="15" hidden="1" customHeight="1" x14ac:dyDescent="0.15">
      <c r="A43" s="7">
        <v>48</v>
      </c>
      <c r="B43" s="6" t="s">
        <v>87</v>
      </c>
      <c r="C43" s="6" t="s">
        <v>89</v>
      </c>
      <c r="D43" s="4" t="s">
        <v>17</v>
      </c>
      <c r="E43" s="4" t="s">
        <v>595</v>
      </c>
      <c r="F43" s="4">
        <v>1</v>
      </c>
      <c r="H43" s="4" t="s">
        <v>178</v>
      </c>
      <c r="I43" s="4" t="b">
        <v>0</v>
      </c>
      <c r="K43" s="4" t="b">
        <f>IF(COUNTIF($B$2:$B43,B43)&gt;1,TRUE,FALSE)</f>
        <v>0</v>
      </c>
      <c r="L43" t="str">
        <f t="shared" si="0"/>
        <v>p.update({"cancel_grouping_fields":{"explore":{"type":"list_unquoted","subtype":"field-ref","indent":1,"default_value":"","docs_url":"https://looker.com/docs/r/lookml/types/explore/cancel_grouping_fields?version=7.14&amp;lookml=new","has_allowed_values":False,"allowed_values":""}}})</v>
      </c>
      <c r="M43" t="str">
        <f t="shared" si="1"/>
        <v>{"cancel_grouping_fields":{"explore":{"type":"list_unquoted","subtype":"field-ref","indent":1,"default_value":"","docs_url":"https://looker.com/docs/r/lookml/types/explore/cancel_grouping_fields?version=7.14&amp;lookml=new","has_allowed_values":False,"allowed_values":""}}}</v>
      </c>
      <c r="N43" t="str">
        <f t="shared" si="4"/>
        <v>"type":"list_unquoted",</v>
      </c>
      <c r="O43" t="str">
        <f t="shared" si="5"/>
        <v>"subtype":"field-ref",</v>
      </c>
      <c r="P43" t="str">
        <f t="shared" si="6"/>
        <v>"indent":1,</v>
      </c>
      <c r="Q43" t="str">
        <f t="shared" si="9"/>
        <v>"default_value":"",</v>
      </c>
      <c r="R43" t="str">
        <f t="shared" si="10"/>
        <v>"docs_url":"https://looker.com/docs/r/lookml/types/explore/cancel_grouping_fields?version=7.14&amp;lookml=new",</v>
      </c>
      <c r="S43" t="str">
        <f t="shared" si="7"/>
        <v>"has_allowed_values":False,</v>
      </c>
      <c r="T43" t="str">
        <f t="shared" si="8"/>
        <v>"allowed_values":""</v>
      </c>
    </row>
    <row r="44" spans="1:20" ht="15" hidden="1" customHeight="1" x14ac:dyDescent="0.15">
      <c r="A44" s="7">
        <v>49</v>
      </c>
      <c r="B44" s="6" t="s">
        <v>88</v>
      </c>
      <c r="C44" s="6" t="s">
        <v>89</v>
      </c>
      <c r="D44" s="4" t="s">
        <v>540</v>
      </c>
      <c r="E44" s="4" t="s">
        <v>540</v>
      </c>
      <c r="F44" s="4">
        <v>1</v>
      </c>
      <c r="H44" s="4" t="s">
        <v>179</v>
      </c>
      <c r="I44" s="4" t="b">
        <v>0</v>
      </c>
      <c r="K44" s="4" t="b">
        <f>IF(COUNTIF($B$2:$B44,B44)&gt;1,TRUE,FALSE)</f>
        <v>0</v>
      </c>
      <c r="L44" t="str">
        <f t="shared" si="0"/>
        <v>p.update({"conditionally_filter":{"explore":{"type":"anonymous_construct_plural","subtype":"anonymous_construct_plural","indent":1,"default_value":"","docs_url":"https://looker.com/docs/r/lookml/types/explore/conditionally_filter?version=7.14&amp;lookml=new","has_allowed_values":False,"allowed_values":""}}})</v>
      </c>
      <c r="M44" t="str">
        <f t="shared" si="1"/>
        <v>{"conditionally_filter":{"explore":{"type":"anonymous_construct_plural","subtype":"anonymous_construct_plural","indent":1,"default_value":"","docs_url":"https://looker.com/docs/r/lookml/types/explore/conditionally_filter?version=7.14&amp;lookml=new","has_allowed_values":False,"allowed_values":""}}}</v>
      </c>
      <c r="N44" t="str">
        <f t="shared" si="4"/>
        <v>"type":"anonymous_construct_plural",</v>
      </c>
      <c r="O44" t="str">
        <f t="shared" si="5"/>
        <v>"subtype":"anonymous_construct_plural",</v>
      </c>
      <c r="P44" t="str">
        <f t="shared" si="6"/>
        <v>"indent":1,</v>
      </c>
      <c r="Q44" t="str">
        <f t="shared" si="9"/>
        <v>"default_value":"",</v>
      </c>
      <c r="R44" t="str">
        <f t="shared" si="10"/>
        <v>"docs_url":"https://looker.com/docs/r/lookml/types/explore/conditionally_filter?version=7.14&amp;lookml=new",</v>
      </c>
      <c r="S44" t="str">
        <f t="shared" si="7"/>
        <v>"has_allowed_values":False,</v>
      </c>
      <c r="T44" t="str">
        <f t="shared" si="8"/>
        <v>"allowed_values":""</v>
      </c>
    </row>
    <row r="45" spans="1:20" ht="15" hidden="1" customHeight="1" x14ac:dyDescent="0.15">
      <c r="A45" s="7">
        <v>50</v>
      </c>
      <c r="B45" s="6" t="s">
        <v>8</v>
      </c>
      <c r="C45" s="6" t="s">
        <v>89</v>
      </c>
      <c r="D45" s="4" t="s">
        <v>568</v>
      </c>
      <c r="E45" s="4" t="s">
        <v>568</v>
      </c>
      <c r="F45" s="4">
        <v>1</v>
      </c>
      <c r="G45" s="4" t="s">
        <v>604</v>
      </c>
      <c r="H45" s="4" t="s">
        <v>180</v>
      </c>
      <c r="I45" s="4" t="b">
        <v>0</v>
      </c>
      <c r="K45" s="4" t="b">
        <f>IF(COUNTIF($B$2:$B45,B45)&gt;1,TRUE,FALSE)</f>
        <v>1</v>
      </c>
      <c r="L45" t="str">
        <f t="shared" si="0"/>
        <v>p["case_sensitive"].update({"explore":{"type":"yesno","subtype":"yesno","indent":1,"default_value":"yes","docs_url":"https://looker.com/docs/r/lookml/types/explore/case_sensitive?version=7.14&amp;lookml=new","has_allowed_values":False,"allowed_values":""}})</v>
      </c>
      <c r="M45" t="str">
        <f t="shared" si="1"/>
        <v>{"case_sensitive":{"explore":{"type":"yesno","subtype":"yesno","indent":1,"default_value":"yes","docs_url":"https://looker.com/docs/r/lookml/types/explore/case_sensitive?version=7.14&amp;lookml=new","has_allowed_values":False,"allowed_values":""}}}</v>
      </c>
      <c r="N45" t="str">
        <f t="shared" si="4"/>
        <v>"type":"yesno",</v>
      </c>
      <c r="O45" t="str">
        <f t="shared" si="5"/>
        <v>"subtype":"yesno",</v>
      </c>
      <c r="P45" t="str">
        <f t="shared" si="6"/>
        <v>"indent":1,</v>
      </c>
      <c r="Q45" t="str">
        <f t="shared" si="9"/>
        <v>"default_value":"yes",</v>
      </c>
      <c r="R45" t="str">
        <f t="shared" si="10"/>
        <v>"docs_url":"https://looker.com/docs/r/lookml/types/explore/case_sensitive?version=7.14&amp;lookml=new",</v>
      </c>
      <c r="S45" t="str">
        <f t="shared" si="7"/>
        <v>"has_allowed_values":False,</v>
      </c>
      <c r="T45" t="str">
        <f t="shared" si="8"/>
        <v>"allowed_values":""</v>
      </c>
    </row>
    <row r="46" spans="1:20" ht="15" hidden="1" customHeight="1" x14ac:dyDescent="0.15">
      <c r="A46" s="7">
        <v>51</v>
      </c>
      <c r="B46" s="6" t="s">
        <v>11</v>
      </c>
      <c r="C46" s="6" t="s">
        <v>89</v>
      </c>
      <c r="D46" s="4" t="s">
        <v>29</v>
      </c>
      <c r="E46" s="4" t="s">
        <v>0</v>
      </c>
      <c r="F46" s="4">
        <v>1</v>
      </c>
      <c r="G46" s="4" t="s">
        <v>591</v>
      </c>
      <c r="H46" s="4" t="s">
        <v>181</v>
      </c>
      <c r="I46" s="4" t="b">
        <v>0</v>
      </c>
      <c r="K46" s="4" t="b">
        <f>IF(COUNTIF($B$2:$B46,B46)&gt;1,TRUE,FALSE)</f>
        <v>0</v>
      </c>
      <c r="L46" t="str">
        <f t="shared" si="0"/>
        <v>p.update({"description":{"explore":{"type":"string","subtype":"possibly-localized-string","indent":1,"default_value":"","docs_url":"https://looker.com/docs/r/lookml/types/explore/description?version=7.14&amp;lookml=new","has_allowed_values":False,"allowed_values":""}}})</v>
      </c>
      <c r="M46" t="str">
        <f t="shared" si="1"/>
        <v>{"description":{"explore":{"type":"string","subtype":"possibly-localized-string","indent":1,"default_value":"","docs_url":"https://looker.com/docs/r/lookml/types/explore/description?version=7.14&amp;lookml=new","has_allowed_values":False,"allowed_values":""}}}</v>
      </c>
      <c r="N46" t="str">
        <f t="shared" si="4"/>
        <v>"type":"string",</v>
      </c>
      <c r="O46" t="str">
        <f t="shared" si="5"/>
        <v>"subtype":"possibly-localized-string",</v>
      </c>
      <c r="P46" t="str">
        <f t="shared" si="6"/>
        <v>"indent":1,</v>
      </c>
      <c r="Q46" t="str">
        <f t="shared" si="9"/>
        <v>"default_value":"",</v>
      </c>
      <c r="R46" t="str">
        <f t="shared" si="10"/>
        <v>"docs_url":"https://looker.com/docs/r/lookml/types/explore/description?version=7.14&amp;lookml=new",</v>
      </c>
      <c r="S46" t="str">
        <f t="shared" si="7"/>
        <v>"has_allowed_values":False,</v>
      </c>
      <c r="T46" t="str">
        <f t="shared" si="8"/>
        <v>"allowed_values":""</v>
      </c>
    </row>
    <row r="47" spans="1:20" ht="15" hidden="1" customHeight="1" x14ac:dyDescent="0.15">
      <c r="A47" s="7">
        <v>52</v>
      </c>
      <c r="B47" s="6" t="s">
        <v>20</v>
      </c>
      <c r="C47" s="6" t="s">
        <v>89</v>
      </c>
      <c r="D47" s="4" t="s">
        <v>29</v>
      </c>
      <c r="E47" s="4" t="s">
        <v>0</v>
      </c>
      <c r="F47" s="4">
        <v>1</v>
      </c>
      <c r="G47" s="4" t="s">
        <v>591</v>
      </c>
      <c r="H47" s="4" t="s">
        <v>182</v>
      </c>
      <c r="I47" s="4" t="b">
        <v>0</v>
      </c>
      <c r="K47" s="4" t="b">
        <f>IF(COUNTIF($B$2:$B47,B47)&gt;1,TRUE,FALSE)</f>
        <v>0</v>
      </c>
      <c r="L47" t="str">
        <f t="shared" si="0"/>
        <v>p.update({"group_label":{"explore":{"type":"string","subtype":"possibly-localized-string","indent":1,"default_value":"","docs_url":"https://looker.com/docs/r/lookml/types/explore/group_label?version=7.14&amp;lookml=new","has_allowed_values":False,"allowed_values":""}}})</v>
      </c>
      <c r="M47" t="str">
        <f t="shared" si="1"/>
        <v>{"group_label":{"explore":{"type":"string","subtype":"possibly-localized-string","indent":1,"default_value":"","docs_url":"https://looker.com/docs/r/lookml/types/explore/group_label?version=7.14&amp;lookml=new","has_allowed_values":False,"allowed_values":""}}}</v>
      </c>
      <c r="N47" t="str">
        <f t="shared" si="4"/>
        <v>"type":"string",</v>
      </c>
      <c r="O47" t="str">
        <f t="shared" si="5"/>
        <v>"subtype":"possibly-localized-string",</v>
      </c>
      <c r="P47" t="str">
        <f t="shared" si="6"/>
        <v>"indent":1,</v>
      </c>
      <c r="Q47" t="str">
        <f t="shared" si="9"/>
        <v>"default_value":"",</v>
      </c>
      <c r="R47" t="str">
        <f t="shared" si="10"/>
        <v>"docs_url":"https://looker.com/docs/r/lookml/types/explore/group_label?version=7.14&amp;lookml=new",</v>
      </c>
      <c r="S47" t="str">
        <f t="shared" si="7"/>
        <v>"has_allowed_values":False,</v>
      </c>
      <c r="T47" t="str">
        <f t="shared" si="8"/>
        <v>"allowed_values":""</v>
      </c>
    </row>
    <row r="48" spans="1:20" ht="15" hidden="1" customHeight="1" x14ac:dyDescent="0.15">
      <c r="A48" s="7">
        <v>53</v>
      </c>
      <c r="B48" s="6" t="s">
        <v>90</v>
      </c>
      <c r="C48" s="6" t="s">
        <v>89</v>
      </c>
      <c r="D48" s="4" t="s">
        <v>15</v>
      </c>
      <c r="E48" s="4" t="s">
        <v>595</v>
      </c>
      <c r="F48" s="4">
        <v>1</v>
      </c>
      <c r="H48" s="4" t="s">
        <v>183</v>
      </c>
      <c r="I48" s="4" t="b">
        <v>0</v>
      </c>
      <c r="K48" s="4" t="b">
        <f>IF(COUNTIF($B$2:$B48,B48)&gt;1,TRUE,FALSE)</f>
        <v>1</v>
      </c>
      <c r="L48" t="str">
        <f t="shared" si="0"/>
        <v>p["extends"].update({"explore":{"type":"list_unquoted","subtype":"explore-ref","indent":1,"default_value":"","docs_url":"https://looker.com/docs/r/lookml/types/explore/extends?version=7.14&amp;lookml=new","has_allowed_values":False,"allowed_values":""}})</v>
      </c>
      <c r="M48" t="str">
        <f t="shared" si="1"/>
        <v>{"extends":{"explore":{"type":"list_unquoted","subtype":"explore-ref","indent":1,"default_value":"","docs_url":"https://looker.com/docs/r/lookml/types/explore/extends?version=7.14&amp;lookml=new","has_allowed_values":False,"allowed_values":""}}}</v>
      </c>
      <c r="N48" t="str">
        <f t="shared" si="4"/>
        <v>"type":"list_unquoted",</v>
      </c>
      <c r="O48" t="str">
        <f t="shared" si="5"/>
        <v>"subtype":"explore-ref",</v>
      </c>
      <c r="P48" t="str">
        <f t="shared" si="6"/>
        <v>"indent":1,</v>
      </c>
      <c r="Q48" t="str">
        <f t="shared" si="9"/>
        <v>"default_value":"",</v>
      </c>
      <c r="R48" t="str">
        <f t="shared" si="10"/>
        <v>"docs_url":"https://looker.com/docs/r/lookml/types/explore/extends?version=7.14&amp;lookml=new",</v>
      </c>
      <c r="S48" t="str">
        <f t="shared" si="7"/>
        <v>"has_allowed_values":False,</v>
      </c>
      <c r="T48" t="str">
        <f t="shared" si="8"/>
        <v>"allowed_values":""</v>
      </c>
    </row>
    <row r="49" spans="1:20" ht="15" hidden="1" customHeight="1" x14ac:dyDescent="0.15">
      <c r="A49" s="7">
        <v>54</v>
      </c>
      <c r="B49" s="6" t="s">
        <v>91</v>
      </c>
      <c r="C49" s="6" t="s">
        <v>89</v>
      </c>
      <c r="D49" s="4" t="s">
        <v>550</v>
      </c>
      <c r="E49" s="4" t="s">
        <v>550</v>
      </c>
      <c r="F49" s="4">
        <v>1</v>
      </c>
      <c r="G49" s="4" t="s">
        <v>515</v>
      </c>
      <c r="H49" s="4" t="s">
        <v>184</v>
      </c>
      <c r="I49" s="4" t="b">
        <v>1</v>
      </c>
      <c r="J49" s="4" t="s">
        <v>572</v>
      </c>
      <c r="K49" s="4" t="b">
        <f>IF(COUNTIF($B$2:$B49,B49)&gt;1,TRUE,FALSE)</f>
        <v>1</v>
      </c>
      <c r="L49" t="str">
        <f t="shared" si="0"/>
        <v>p["extension"].update({"explore":{"type":"options","subtype":"options","indent":1,"default_value":"required","docs_url":"https://looker.com/docs/r/lookml/types/explore/extension?version=7.14&amp;lookml=new","has_allowed_values":True,"allowed_values":["required"]}})</v>
      </c>
      <c r="M49" t="str">
        <f t="shared" si="1"/>
        <v>{"extension":{"explore":{"type":"options","subtype":"options","indent":1,"default_value":"required","docs_url":"https://looker.com/docs/r/lookml/types/explore/extension?version=7.14&amp;lookml=new","has_allowed_values":True,"allowed_values":["required"]}}}</v>
      </c>
      <c r="N49" t="str">
        <f t="shared" si="4"/>
        <v>"type":"options",</v>
      </c>
      <c r="O49" t="str">
        <f t="shared" si="5"/>
        <v>"subtype":"options",</v>
      </c>
      <c r="P49" t="str">
        <f t="shared" si="6"/>
        <v>"indent":1,</v>
      </c>
      <c r="Q49" t="str">
        <f t="shared" si="9"/>
        <v>"default_value":"required",</v>
      </c>
      <c r="R49" t="str">
        <f t="shared" si="10"/>
        <v>"docs_url":"https://looker.com/docs/r/lookml/types/explore/extension?version=7.14&amp;lookml=new",</v>
      </c>
      <c r="S49" t="str">
        <f t="shared" si="7"/>
        <v>"has_allowed_values":True,</v>
      </c>
      <c r="T49" t="str">
        <f t="shared" si="8"/>
        <v>"allowed_values":["required"]</v>
      </c>
    </row>
    <row r="50" spans="1:20" ht="15" hidden="1" customHeight="1" x14ac:dyDescent="0.15">
      <c r="A50" s="7">
        <v>55</v>
      </c>
      <c r="B50" s="6" t="s">
        <v>94</v>
      </c>
      <c r="C50" s="6" t="s">
        <v>89</v>
      </c>
      <c r="D50" s="4" t="s">
        <v>101</v>
      </c>
      <c r="E50" s="4" t="s">
        <v>598</v>
      </c>
      <c r="F50" s="4">
        <v>1</v>
      </c>
      <c r="H50" s="4" t="s">
        <v>185</v>
      </c>
      <c r="I50" s="4" t="b">
        <v>0</v>
      </c>
      <c r="K50" s="4" t="b">
        <f>IF(COUNTIF($B$2:$B50,B50)&gt;1,TRUE,FALSE)</f>
        <v>0</v>
      </c>
      <c r="L50" t="str">
        <f t="shared" si="0"/>
        <v>p.update({"from":{"explore":{"type":"string_unquoted","subtype":"view-ref","indent":1,"default_value":"","docs_url":"https://looker.com/docs/r/lookml/types/explore/from?version=7.14&amp;lookml=new","has_allowed_values":False,"allowed_values":""}}})</v>
      </c>
      <c r="M50" t="str">
        <f t="shared" si="1"/>
        <v>{"from":{"explore":{"type":"string_unquoted","subtype":"view-ref","indent":1,"default_value":"","docs_url":"https://looker.com/docs/r/lookml/types/explore/from?version=7.14&amp;lookml=new","has_allowed_values":False,"allowed_values":""}}}</v>
      </c>
      <c r="N50" t="str">
        <f t="shared" si="4"/>
        <v>"type":"string_unquoted",</v>
      </c>
      <c r="O50" t="str">
        <f t="shared" si="5"/>
        <v>"subtype":"view-ref",</v>
      </c>
      <c r="P50" t="str">
        <f t="shared" si="6"/>
        <v>"indent":1,</v>
      </c>
      <c r="Q50" t="str">
        <f t="shared" si="9"/>
        <v>"default_value":"",</v>
      </c>
      <c r="R50" t="str">
        <f t="shared" si="10"/>
        <v>"docs_url":"https://looker.com/docs/r/lookml/types/explore/from?version=7.14&amp;lookml=new",</v>
      </c>
      <c r="S50" t="str">
        <f t="shared" si="7"/>
        <v>"has_allowed_values":False,</v>
      </c>
      <c r="T50" t="str">
        <f t="shared" si="8"/>
        <v>"allowed_values":""</v>
      </c>
    </row>
    <row r="51" spans="1:20" ht="13" hidden="1" x14ac:dyDescent="0.15">
      <c r="A51" s="7">
        <v>56</v>
      </c>
      <c r="B51" s="6" t="s">
        <v>92</v>
      </c>
      <c r="C51" s="6" t="s">
        <v>89</v>
      </c>
      <c r="D51" s="4" t="s">
        <v>17</v>
      </c>
      <c r="E51" s="4" t="s">
        <v>595</v>
      </c>
      <c r="F51" s="4">
        <v>1</v>
      </c>
      <c r="H51" s="4" t="s">
        <v>186</v>
      </c>
      <c r="I51" s="4" t="b">
        <v>0</v>
      </c>
      <c r="K51" s="4" t="b">
        <f>IF(COUNTIF($B$2:$B51,B51)&gt;1,TRUE,FALSE)</f>
        <v>0</v>
      </c>
      <c r="L51" t="str">
        <f t="shared" si="0"/>
        <v>p.update({"fields":{"explore":{"type":"list_unquoted","subtype":"field-ref","indent":1,"default_value":"","docs_url":"https://looker.com/docs/r/lookml/types/explore/fields?version=7.14&amp;lookml=new","has_allowed_values":False,"allowed_values":""}}})</v>
      </c>
      <c r="M51" t="str">
        <f t="shared" si="1"/>
        <v>{"fields":{"explore":{"type":"list_unquoted","subtype":"field-ref","indent":1,"default_value":"","docs_url":"https://looker.com/docs/r/lookml/types/explore/fields?version=7.14&amp;lookml=new","has_allowed_values":False,"allowed_values":""}}}</v>
      </c>
      <c r="N51" t="str">
        <f t="shared" si="4"/>
        <v>"type":"list_unquoted",</v>
      </c>
      <c r="O51" t="str">
        <f t="shared" si="5"/>
        <v>"subtype":"field-ref",</v>
      </c>
      <c r="P51" t="str">
        <f t="shared" si="6"/>
        <v>"indent":1,</v>
      </c>
      <c r="Q51" t="str">
        <f t="shared" si="9"/>
        <v>"default_value":"",</v>
      </c>
      <c r="R51" t="str">
        <f t="shared" si="10"/>
        <v>"docs_url":"https://looker.com/docs/r/lookml/types/explore/fields?version=7.14&amp;lookml=new",</v>
      </c>
      <c r="S51" t="str">
        <f t="shared" si="7"/>
        <v>"has_allowed_values":False,</v>
      </c>
      <c r="T51" t="str">
        <f t="shared" si="8"/>
        <v>"allowed_values":""</v>
      </c>
    </row>
    <row r="52" spans="1:20" ht="13" hidden="1" x14ac:dyDescent="0.15">
      <c r="A52" s="7">
        <v>57</v>
      </c>
      <c r="B52" s="6" t="s">
        <v>93</v>
      </c>
      <c r="C52" s="6" t="s">
        <v>89</v>
      </c>
      <c r="D52" s="4" t="s">
        <v>568</v>
      </c>
      <c r="E52" s="4" t="s">
        <v>568</v>
      </c>
      <c r="F52" s="4">
        <v>1</v>
      </c>
      <c r="G52" s="4" t="s">
        <v>603</v>
      </c>
      <c r="H52" s="4" t="s">
        <v>187</v>
      </c>
      <c r="I52" s="4" t="b">
        <v>0</v>
      </c>
      <c r="K52" s="4" t="b">
        <f>IF(COUNTIF($B$2:$B52,B52)&gt;1,TRUE,FALSE)</f>
        <v>1</v>
      </c>
      <c r="L52" t="str">
        <f t="shared" si="0"/>
        <v>p["final"].update({"explore":{"type":"yesno","subtype":"yesno","indent":1,"default_value":"no","docs_url":"https://looker.com/docs/r/lookml/types/explore/final?version=7.14&amp;lookml=new","has_allowed_values":False,"allowed_values":""}})</v>
      </c>
      <c r="M52" t="str">
        <f t="shared" si="1"/>
        <v>{"final":{"explore":{"type":"yesno","subtype":"yesno","indent":1,"default_value":"no","docs_url":"https://looker.com/docs/r/lookml/types/explore/final?version=7.14&amp;lookml=new","has_allowed_values":False,"allowed_values":""}}}</v>
      </c>
      <c r="N52" t="str">
        <f t="shared" si="4"/>
        <v>"type":"yesno",</v>
      </c>
      <c r="O52" t="str">
        <f t="shared" si="5"/>
        <v>"subtype":"yesno",</v>
      </c>
      <c r="P52" t="str">
        <f t="shared" si="6"/>
        <v>"indent":1,</v>
      </c>
      <c r="Q52" t="str">
        <f t="shared" si="9"/>
        <v>"default_value":"no",</v>
      </c>
      <c r="R52" t="str">
        <f t="shared" si="10"/>
        <v>"docs_url":"https://looker.com/docs/r/lookml/types/explore/final?version=7.14&amp;lookml=new",</v>
      </c>
      <c r="S52" t="str">
        <f t="shared" si="7"/>
        <v>"has_allowed_values":False,</v>
      </c>
      <c r="T52" t="str">
        <f t="shared" si="8"/>
        <v>"allowed_values":""</v>
      </c>
    </row>
    <row r="53" spans="1:20" ht="13" hidden="1" x14ac:dyDescent="0.15">
      <c r="A53" s="7">
        <v>58</v>
      </c>
      <c r="B53" s="6" t="s">
        <v>21</v>
      </c>
      <c r="C53" s="6" t="s">
        <v>89</v>
      </c>
      <c r="D53" s="4" t="s">
        <v>568</v>
      </c>
      <c r="E53" s="4" t="s">
        <v>568</v>
      </c>
      <c r="F53" s="4">
        <v>1</v>
      </c>
      <c r="G53" s="4" t="s">
        <v>603</v>
      </c>
      <c r="H53" s="4" t="s">
        <v>188</v>
      </c>
      <c r="I53" s="4" t="b">
        <v>0</v>
      </c>
      <c r="K53" s="4" t="b">
        <f>IF(COUNTIF($B$2:$B53,B53)&gt;1,TRUE,FALSE)</f>
        <v>0</v>
      </c>
      <c r="L53" t="str">
        <f t="shared" si="0"/>
        <v>p.update({"hidden":{"explore":{"type":"yesno","subtype":"yesno","indent":1,"default_value":"no","docs_url":"https://looker.com/docs/r/lookml/types/explore/hidden?version=7.14&amp;lookml=new","has_allowed_values":False,"allowed_values":""}}})</v>
      </c>
      <c r="M53" t="str">
        <f t="shared" si="1"/>
        <v>{"hidden":{"explore":{"type":"yesno","subtype":"yesno","indent":1,"default_value":"no","docs_url":"https://looker.com/docs/r/lookml/types/explore/hidden?version=7.14&amp;lookml=new","has_allowed_values":False,"allowed_values":""}}}</v>
      </c>
      <c r="N53" t="str">
        <f t="shared" si="4"/>
        <v>"type":"yesno",</v>
      </c>
      <c r="O53" t="str">
        <f t="shared" si="5"/>
        <v>"subtype":"yesno",</v>
      </c>
      <c r="P53" t="str">
        <f t="shared" si="6"/>
        <v>"indent":1,</v>
      </c>
      <c r="Q53" t="str">
        <f t="shared" si="9"/>
        <v>"default_value":"no",</v>
      </c>
      <c r="R53" t="str">
        <f t="shared" si="10"/>
        <v>"docs_url":"https://looker.com/docs/r/lookml/types/explore/hidden?version=7.14&amp;lookml=new",</v>
      </c>
      <c r="S53" t="str">
        <f t="shared" si="7"/>
        <v>"has_allowed_values":False,</v>
      </c>
      <c r="T53" t="str">
        <f t="shared" si="8"/>
        <v>"allowed_values":""</v>
      </c>
    </row>
    <row r="54" spans="1:20" ht="13" hidden="1" x14ac:dyDescent="0.15">
      <c r="A54" s="7">
        <v>59</v>
      </c>
      <c r="B54" s="6" t="s">
        <v>96</v>
      </c>
      <c r="C54" s="6" t="s">
        <v>89</v>
      </c>
      <c r="D54" s="4" t="s">
        <v>95</v>
      </c>
      <c r="E54" s="4" t="s">
        <v>592</v>
      </c>
      <c r="F54" s="4">
        <v>1</v>
      </c>
      <c r="H54" s="4" t="s">
        <v>189</v>
      </c>
      <c r="I54" s="4" t="b">
        <v>0</v>
      </c>
      <c r="K54" s="4" t="b">
        <f>IF(COUNTIF($B$2:$B54,B54)&gt;1,TRUE,FALSE)</f>
        <v>0</v>
      </c>
      <c r="L54" t="str">
        <f t="shared" si="0"/>
        <v>p.update({"join":{"explore":{"type":"named_construct","subtype":"identifier","indent":1,"default_value":"","docs_url":"https://looker.com/docs/r/lookml/types/explore/join?version=7.14&amp;lookml=new","has_allowed_values":False,"allowed_values":""}}})</v>
      </c>
      <c r="M54" t="str">
        <f t="shared" si="1"/>
        <v>{"join":{"explore":{"type":"named_construct","subtype":"identifier","indent":1,"default_value":"","docs_url":"https://looker.com/docs/r/lookml/types/explore/join?version=7.14&amp;lookml=new","has_allowed_values":False,"allowed_values":""}}}</v>
      </c>
      <c r="N54" t="str">
        <f t="shared" si="4"/>
        <v>"type":"named_construct",</v>
      </c>
      <c r="O54" t="str">
        <f t="shared" si="5"/>
        <v>"subtype":"identifier",</v>
      </c>
      <c r="P54" t="str">
        <f t="shared" si="6"/>
        <v>"indent":1,</v>
      </c>
      <c r="Q54" t="str">
        <f t="shared" si="9"/>
        <v>"default_value":"",</v>
      </c>
      <c r="R54" t="str">
        <f t="shared" si="10"/>
        <v>"docs_url":"https://looker.com/docs/r/lookml/types/explore/join?version=7.14&amp;lookml=new",</v>
      </c>
      <c r="S54" t="str">
        <f t="shared" si="7"/>
        <v>"has_allowed_values":False,</v>
      </c>
      <c r="T54" t="str">
        <f t="shared" si="8"/>
        <v>"allowed_values":""</v>
      </c>
    </row>
    <row r="55" spans="1:20" ht="13" hidden="1" x14ac:dyDescent="0.15">
      <c r="A55" s="7">
        <v>60</v>
      </c>
      <c r="B55" s="6" t="s">
        <v>23</v>
      </c>
      <c r="C55" s="6" t="s">
        <v>89</v>
      </c>
      <c r="D55" s="4" t="s">
        <v>29</v>
      </c>
      <c r="E55" s="4" t="s">
        <v>0</v>
      </c>
      <c r="F55" s="4">
        <v>1</v>
      </c>
      <c r="G55" s="4" t="s">
        <v>591</v>
      </c>
      <c r="H55" s="4" t="s">
        <v>190</v>
      </c>
      <c r="I55" s="4" t="b">
        <v>0</v>
      </c>
      <c r="K55" s="4" t="b">
        <f>IF(COUNTIF($B$2:$B55,B55)&gt;1,TRUE,FALSE)</f>
        <v>1</v>
      </c>
      <c r="L55" t="str">
        <f t="shared" si="0"/>
        <v>p["label"].update({"explore":{"type":"string","subtype":"possibly-localized-string","indent":1,"default_value":"","docs_url":"https://looker.com/docs/r/lookml/types/explore/label?version=7.14&amp;lookml=new","has_allowed_values":False,"allowed_values":""}})</v>
      </c>
      <c r="M55" t="str">
        <f t="shared" si="1"/>
        <v>{"label":{"explore":{"type":"string","subtype":"possibly-localized-string","indent":1,"default_value":"","docs_url":"https://looker.com/docs/r/lookml/types/explore/label?version=7.14&amp;lookml=new","has_allowed_values":False,"allowed_values":""}}}</v>
      </c>
      <c r="N55" t="str">
        <f t="shared" si="4"/>
        <v>"type":"string",</v>
      </c>
      <c r="O55" t="str">
        <f t="shared" si="5"/>
        <v>"subtype":"possibly-localized-string",</v>
      </c>
      <c r="P55" t="str">
        <f t="shared" si="6"/>
        <v>"indent":1,</v>
      </c>
      <c r="Q55" t="str">
        <f t="shared" si="9"/>
        <v>"default_value":"",</v>
      </c>
      <c r="R55" t="str">
        <f t="shared" si="10"/>
        <v>"docs_url":"https://looker.com/docs/r/lookml/types/explore/label?version=7.14&amp;lookml=new",</v>
      </c>
      <c r="S55" t="str">
        <f t="shared" si="7"/>
        <v>"has_allowed_values":False,</v>
      </c>
      <c r="T55" t="str">
        <f t="shared" si="8"/>
        <v>"allowed_values":""</v>
      </c>
    </row>
    <row r="56" spans="1:20" ht="13" hidden="1" x14ac:dyDescent="0.15">
      <c r="A56" s="7">
        <v>61</v>
      </c>
      <c r="B56" s="6" t="s">
        <v>76</v>
      </c>
      <c r="C56" s="6" t="s">
        <v>89</v>
      </c>
      <c r="D56" s="4" t="s">
        <v>0</v>
      </c>
      <c r="E56" s="4" t="s">
        <v>0</v>
      </c>
      <c r="F56" s="4">
        <v>1</v>
      </c>
      <c r="G56" s="4" t="s">
        <v>591</v>
      </c>
      <c r="H56" s="4" t="s">
        <v>191</v>
      </c>
      <c r="I56" s="4" t="b">
        <v>0</v>
      </c>
      <c r="K56" s="4" t="b">
        <f>IF(COUNTIF($B$2:$B56,B56)&gt;1,TRUE,FALSE)</f>
        <v>1</v>
      </c>
      <c r="L56" t="str">
        <f t="shared" si="0"/>
        <v>p["persist_for"].update({"explore":{"type":"string","subtype":"string","indent":1,"default_value":"","docs_url":"https://looker.com/docs/r/lookml/types/explore/persist_for?version=7.14&amp;lookml=new","has_allowed_values":False,"allowed_values":""}})</v>
      </c>
      <c r="M56" t="str">
        <f t="shared" si="1"/>
        <v>{"persist_for":{"explore":{"type":"string","subtype":"string","indent":1,"default_value":"","docs_url":"https://looker.com/docs/r/lookml/types/explore/persist_for?version=7.14&amp;lookml=new","has_allowed_values":False,"allowed_values":""}}}</v>
      </c>
      <c r="N56" t="str">
        <f t="shared" si="4"/>
        <v>"type":"string",</v>
      </c>
      <c r="O56" t="str">
        <f t="shared" si="5"/>
        <v>"subtype":"string",</v>
      </c>
      <c r="P56" t="str">
        <f t="shared" si="6"/>
        <v>"indent":1,</v>
      </c>
      <c r="Q56" t="str">
        <f t="shared" si="9"/>
        <v>"default_value":"",</v>
      </c>
      <c r="R56" t="str">
        <f t="shared" si="10"/>
        <v>"docs_url":"https://looker.com/docs/r/lookml/types/explore/persist_for?version=7.14&amp;lookml=new",</v>
      </c>
      <c r="S56" t="str">
        <f t="shared" si="7"/>
        <v>"has_allowed_values":False,</v>
      </c>
      <c r="T56" t="str">
        <f t="shared" si="8"/>
        <v>"allowed_values":""</v>
      </c>
    </row>
    <row r="57" spans="1:20" ht="13" hidden="1" x14ac:dyDescent="0.15">
      <c r="A57" s="7">
        <v>62</v>
      </c>
      <c r="B57" s="6" t="s">
        <v>97</v>
      </c>
      <c r="C57" s="6" t="s">
        <v>89</v>
      </c>
      <c r="D57" s="4" t="s">
        <v>68</v>
      </c>
      <c r="E57" s="4" t="s">
        <v>598</v>
      </c>
      <c r="F57" s="4">
        <v>1</v>
      </c>
      <c r="H57" s="4" t="s">
        <v>192</v>
      </c>
      <c r="I57" s="4" t="b">
        <v>0</v>
      </c>
      <c r="K57" s="4" t="b">
        <f>IF(COUNTIF($B$2:$B57,B57)&gt;1,TRUE,FALSE)</f>
        <v>1</v>
      </c>
      <c r="L57" t="str">
        <f t="shared" si="0"/>
        <v>p["persist_with"].update({"explore":{"type":"string_unquoted","subtype":"datagroup-ref","indent":1,"default_value":"","docs_url":"https://looker.com/docs/r/lookml/types/explore/persist_with?version=7.14&amp;lookml=new","has_allowed_values":False,"allowed_values":""}})</v>
      </c>
      <c r="M57" t="str">
        <f t="shared" si="1"/>
        <v>{"persist_with":{"explore":{"type":"string_unquoted","subtype":"datagroup-ref","indent":1,"default_value":"","docs_url":"https://looker.com/docs/r/lookml/types/explore/persist_with?version=7.14&amp;lookml=new","has_allowed_values":False,"allowed_values":""}}}</v>
      </c>
      <c r="N57" t="str">
        <f t="shared" si="4"/>
        <v>"type":"string_unquoted",</v>
      </c>
      <c r="O57" t="str">
        <f t="shared" si="5"/>
        <v>"subtype":"datagroup-ref",</v>
      </c>
      <c r="P57" t="str">
        <f t="shared" si="6"/>
        <v>"indent":1,</v>
      </c>
      <c r="Q57" t="str">
        <f t="shared" si="9"/>
        <v>"default_value":"",</v>
      </c>
      <c r="R57" t="str">
        <f t="shared" si="10"/>
        <v>"docs_url":"https://looker.com/docs/r/lookml/types/explore/persist_with?version=7.14&amp;lookml=new",</v>
      </c>
      <c r="S57" t="str">
        <f t="shared" si="7"/>
        <v>"has_allowed_values":False,</v>
      </c>
      <c r="T57" t="str">
        <f t="shared" si="8"/>
        <v>"allowed_values":""</v>
      </c>
    </row>
    <row r="58" spans="1:20" ht="13" hidden="1" x14ac:dyDescent="0.15">
      <c r="A58" s="7">
        <v>63</v>
      </c>
      <c r="B58" s="6" t="s">
        <v>31</v>
      </c>
      <c r="C58" s="6" t="s">
        <v>89</v>
      </c>
      <c r="D58" s="4" t="s">
        <v>610</v>
      </c>
      <c r="E58" s="4" t="s">
        <v>595</v>
      </c>
      <c r="F58" s="4">
        <v>1</v>
      </c>
      <c r="H58" s="4" t="s">
        <v>193</v>
      </c>
      <c r="I58" s="4" t="b">
        <v>0</v>
      </c>
      <c r="K58" s="4" t="b">
        <f>IF(COUNTIF($B$2:$B58,B58)&gt;1,TRUE,FALSE)</f>
        <v>1</v>
      </c>
      <c r="L58" t="str">
        <f t="shared" si="0"/>
        <v>p["required_access_grants"].update({"explore":{"type":"list_unquoted","subtype":"access-grant-ref","indent":1,"default_value":"","docs_url":"https://looker.com/docs/r/lookml/types/explore/required_access_grants?version=7.14&amp;lookml=new","has_allowed_values":False,"allowed_values":""}})</v>
      </c>
      <c r="M58" t="str">
        <f t="shared" si="1"/>
        <v>{"required_access_grants":{"explore":{"type":"list_unquoted","subtype":"access-grant-ref","indent":1,"default_value":"","docs_url":"https://looker.com/docs/r/lookml/types/explore/required_access_grants?version=7.14&amp;lookml=new","has_allowed_values":False,"allowed_values":""}}}</v>
      </c>
      <c r="N58" t="str">
        <f t="shared" si="4"/>
        <v>"type":"list_unquoted",</v>
      </c>
      <c r="O58" t="str">
        <f t="shared" si="5"/>
        <v>"subtype":"access-grant-ref",</v>
      </c>
      <c r="P58" t="str">
        <f t="shared" si="6"/>
        <v>"indent":1,</v>
      </c>
      <c r="Q58" t="str">
        <f t="shared" si="9"/>
        <v>"default_value":"",</v>
      </c>
      <c r="R58" t="str">
        <f t="shared" si="10"/>
        <v>"docs_url":"https://looker.com/docs/r/lookml/types/explore/required_access_grants?version=7.14&amp;lookml=new",</v>
      </c>
      <c r="S58" t="str">
        <f t="shared" si="7"/>
        <v>"has_allowed_values":False,</v>
      </c>
      <c r="T58" t="str">
        <f t="shared" si="8"/>
        <v>"allowed_values":""</v>
      </c>
    </row>
    <row r="59" spans="1:20" ht="13" hidden="1" x14ac:dyDescent="0.15">
      <c r="A59" s="7">
        <v>64</v>
      </c>
      <c r="B59" s="6" t="s">
        <v>99</v>
      </c>
      <c r="C59" s="6" t="s">
        <v>89</v>
      </c>
      <c r="D59" s="4" t="s">
        <v>611</v>
      </c>
      <c r="E59" s="4" t="s">
        <v>34</v>
      </c>
      <c r="F59" s="4">
        <v>1</v>
      </c>
      <c r="G59" s="4" t="s">
        <v>591</v>
      </c>
      <c r="H59" s="4" t="s">
        <v>194</v>
      </c>
      <c r="I59" s="4" t="b">
        <v>0</v>
      </c>
      <c r="K59" s="4" t="b">
        <f>IF(COUNTIF($B$2:$B59,B59)&gt;1,TRUE,FALSE)</f>
        <v>0</v>
      </c>
      <c r="L59" t="str">
        <f t="shared" si="0"/>
        <v>p.update({"sql_always_where":{"explore":{"type":"sql","subtype":"sql-block ","indent":1,"default_value":"","docs_url":"https://looker.com/docs/r/lookml/types/explore/sql_always_where?version=7.14&amp;lookml=new","has_allowed_values":False,"allowed_values":""}}})</v>
      </c>
      <c r="M59" t="str">
        <f t="shared" si="1"/>
        <v>{"sql_always_where":{"explore":{"type":"sql","subtype":"sql-block ","indent":1,"default_value":"","docs_url":"https://looker.com/docs/r/lookml/types/explore/sql_always_where?version=7.14&amp;lookml=new","has_allowed_values":False,"allowed_values":""}}}</v>
      </c>
      <c r="N59" t="str">
        <f t="shared" si="4"/>
        <v>"type":"sql",</v>
      </c>
      <c r="O59" t="str">
        <f t="shared" si="5"/>
        <v>"subtype":"sql-block ",</v>
      </c>
      <c r="P59" t="str">
        <f t="shared" si="6"/>
        <v>"indent":1,</v>
      </c>
      <c r="Q59" t="str">
        <f t="shared" si="9"/>
        <v>"default_value":"",</v>
      </c>
      <c r="R59" t="str">
        <f t="shared" si="10"/>
        <v>"docs_url":"https://looker.com/docs/r/lookml/types/explore/sql_always_where?version=7.14&amp;lookml=new",</v>
      </c>
      <c r="S59" t="str">
        <f t="shared" si="7"/>
        <v>"has_allowed_values":False,</v>
      </c>
      <c r="T59" t="str">
        <f t="shared" si="8"/>
        <v>"allowed_values":""</v>
      </c>
    </row>
    <row r="60" spans="1:20" ht="13" hidden="1" x14ac:dyDescent="0.15">
      <c r="A60" s="7">
        <v>65</v>
      </c>
      <c r="B60" s="6" t="s">
        <v>98</v>
      </c>
      <c r="C60" s="6" t="s">
        <v>89</v>
      </c>
      <c r="D60" s="4" t="s">
        <v>611</v>
      </c>
      <c r="E60" s="4" t="s">
        <v>34</v>
      </c>
      <c r="F60" s="4">
        <v>1</v>
      </c>
      <c r="G60" s="4" t="s">
        <v>591</v>
      </c>
      <c r="H60" s="4" t="s">
        <v>195</v>
      </c>
      <c r="I60" s="4" t="b">
        <v>0</v>
      </c>
      <c r="K60" s="4" t="b">
        <f>IF(COUNTIF($B$2:$B60,B60)&gt;1,TRUE,FALSE)</f>
        <v>0</v>
      </c>
      <c r="L60" t="str">
        <f t="shared" si="0"/>
        <v>p.update({"sql_always_having":{"explore":{"type":"sql","subtype":"sql-block ","indent":1,"default_value":"","docs_url":"https://looker.com/docs/r/lookml/types/explore/sql_always_having?version=7.14&amp;lookml=new","has_allowed_values":False,"allowed_values":""}}})</v>
      </c>
      <c r="M60" t="str">
        <f t="shared" si="1"/>
        <v>{"sql_always_having":{"explore":{"type":"sql","subtype":"sql-block ","indent":1,"default_value":"","docs_url":"https://looker.com/docs/r/lookml/types/explore/sql_always_having?version=7.14&amp;lookml=new","has_allowed_values":False,"allowed_values":""}}}</v>
      </c>
      <c r="N60" t="str">
        <f t="shared" si="4"/>
        <v>"type":"sql",</v>
      </c>
      <c r="O60" t="str">
        <f t="shared" si="5"/>
        <v>"subtype":"sql-block ",</v>
      </c>
      <c r="P60" t="str">
        <f t="shared" si="6"/>
        <v>"indent":1,</v>
      </c>
      <c r="Q60" t="str">
        <f t="shared" si="9"/>
        <v>"default_value":"",</v>
      </c>
      <c r="R60" t="str">
        <f t="shared" si="10"/>
        <v>"docs_url":"https://looker.com/docs/r/lookml/types/explore/sql_always_having?version=7.14&amp;lookml=new",</v>
      </c>
      <c r="S60" t="str">
        <f t="shared" si="7"/>
        <v>"has_allowed_values":False,</v>
      </c>
      <c r="T60" t="str">
        <f t="shared" si="8"/>
        <v>"allowed_values":""</v>
      </c>
    </row>
    <row r="61" spans="1:20" ht="13" hidden="1" x14ac:dyDescent="0.15">
      <c r="A61" s="7">
        <v>66</v>
      </c>
      <c r="B61" s="6" t="s">
        <v>100</v>
      </c>
      <c r="C61" s="6" t="s">
        <v>89</v>
      </c>
      <c r="D61" s="4" t="s">
        <v>611</v>
      </c>
      <c r="E61" s="4" t="s">
        <v>34</v>
      </c>
      <c r="F61" s="4">
        <v>1</v>
      </c>
      <c r="G61" s="4" t="s">
        <v>591</v>
      </c>
      <c r="H61" s="4" t="s">
        <v>196</v>
      </c>
      <c r="I61" s="4" t="b">
        <v>0</v>
      </c>
      <c r="K61" s="4" t="b">
        <f>IF(COUNTIF($B$2:$B61,B61)&gt;1,TRUE,FALSE)</f>
        <v>1</v>
      </c>
      <c r="L61" t="str">
        <f t="shared" si="0"/>
        <v>p["sql_table_name"].update({"explore":{"type":"sql","subtype":"sql-block ","indent":1,"default_value":"","docs_url":"https://looker.com/docs/r/lookml/types/explore/sql_table_name?version=7.14&amp;lookml=new","has_allowed_values":False,"allowed_values":""}})</v>
      </c>
      <c r="M61" t="str">
        <f t="shared" si="1"/>
        <v>{"sql_table_name":{"explore":{"type":"sql","subtype":"sql-block ","indent":1,"default_value":"","docs_url":"https://looker.com/docs/r/lookml/types/explore/sql_table_name?version=7.14&amp;lookml=new","has_allowed_values":False,"allowed_values":""}}}</v>
      </c>
      <c r="N61" t="str">
        <f t="shared" si="4"/>
        <v>"type":"sql",</v>
      </c>
      <c r="O61" t="str">
        <f t="shared" si="5"/>
        <v>"subtype":"sql-block ",</v>
      </c>
      <c r="P61" t="str">
        <f t="shared" si="6"/>
        <v>"indent":1,</v>
      </c>
      <c r="Q61" t="str">
        <f t="shared" si="9"/>
        <v>"default_value":"",</v>
      </c>
      <c r="R61" t="str">
        <f t="shared" si="10"/>
        <v>"docs_url":"https://looker.com/docs/r/lookml/types/explore/sql_table_name?version=7.14&amp;lookml=new",</v>
      </c>
      <c r="S61" t="str">
        <f t="shared" si="7"/>
        <v>"has_allowed_values":False,</v>
      </c>
      <c r="T61" t="str">
        <f t="shared" si="8"/>
        <v>"allowed_values":""</v>
      </c>
    </row>
    <row r="62" spans="1:20" ht="13" hidden="1" x14ac:dyDescent="0.15">
      <c r="A62" s="7">
        <v>67</v>
      </c>
      <c r="B62" s="6" t="s">
        <v>47</v>
      </c>
      <c r="C62" s="6" t="s">
        <v>89</v>
      </c>
      <c r="D62" s="4" t="s">
        <v>597</v>
      </c>
      <c r="E62" s="4" t="s">
        <v>597</v>
      </c>
      <c r="F62" s="4">
        <v>1</v>
      </c>
      <c r="H62" s="4" t="s">
        <v>197</v>
      </c>
      <c r="I62" s="4" t="b">
        <v>0</v>
      </c>
      <c r="K62" s="4" t="b">
        <f>IF(COUNTIF($B$2:$B62,B62)&gt;1,TRUE,FALSE)</f>
        <v>0</v>
      </c>
      <c r="L62" t="str">
        <f t="shared" si="0"/>
        <v>p.update({"tags":{"explore":{"type":"list_quoted","subtype":"list_quoted","indent":1,"default_value":"","docs_url":"https://looker.com/docs/r/lookml/types/explore/tags?version=7.14&amp;lookml=new","has_allowed_values":False,"allowed_values":""}}})</v>
      </c>
      <c r="M62" t="str">
        <f t="shared" si="1"/>
        <v>{"tags":{"explore":{"type":"list_quoted","subtype":"list_quoted","indent":1,"default_value":"","docs_url":"https://looker.com/docs/r/lookml/types/explore/tags?version=7.14&amp;lookml=new","has_allowed_values":False,"allowed_values":""}}}</v>
      </c>
      <c r="N62" t="str">
        <f t="shared" si="4"/>
        <v>"type":"list_quoted",</v>
      </c>
      <c r="O62" t="str">
        <f t="shared" si="5"/>
        <v>"subtype":"list_quoted",</v>
      </c>
      <c r="P62" t="str">
        <f t="shared" si="6"/>
        <v>"indent":1,</v>
      </c>
      <c r="Q62" t="str">
        <f t="shared" si="9"/>
        <v>"default_value":"",</v>
      </c>
      <c r="R62" t="str">
        <f t="shared" si="10"/>
        <v>"docs_url":"https://looker.com/docs/r/lookml/types/explore/tags?version=7.14&amp;lookml=new",</v>
      </c>
      <c r="S62" t="str">
        <f t="shared" si="7"/>
        <v>"has_allowed_values":False,</v>
      </c>
      <c r="T62" t="str">
        <f t="shared" si="8"/>
        <v>"allowed_values":""</v>
      </c>
    </row>
    <row r="63" spans="1:20" ht="13" hidden="1" x14ac:dyDescent="0.15">
      <c r="A63" s="7">
        <v>68</v>
      </c>
      <c r="B63" s="6" t="s">
        <v>54</v>
      </c>
      <c r="C63" s="6" t="s">
        <v>89</v>
      </c>
      <c r="D63" s="4" t="s">
        <v>29</v>
      </c>
      <c r="E63" s="4" t="s">
        <v>0</v>
      </c>
      <c r="F63" s="4">
        <v>1</v>
      </c>
      <c r="G63" s="4" t="s">
        <v>591</v>
      </c>
      <c r="H63" s="4" t="s">
        <v>198</v>
      </c>
      <c r="I63" s="4" t="b">
        <v>0</v>
      </c>
      <c r="K63" s="4" t="b">
        <f>IF(COUNTIF($B$2:$B63,B63)&gt;1,TRUE,FALSE)</f>
        <v>1</v>
      </c>
      <c r="L63" t="str">
        <f t="shared" si="0"/>
        <v>p["view_label"].update({"explore":{"type":"string","subtype":"possibly-localized-string","indent":1,"default_value":"","docs_url":"https://looker.com/docs/r/lookml/types/explore/view_label?version=7.14&amp;lookml=new","has_allowed_values":False,"allowed_values":""}})</v>
      </c>
      <c r="M63" t="str">
        <f t="shared" si="1"/>
        <v>{"view_label":{"explore":{"type":"string","subtype":"possibly-localized-string","indent":1,"default_value":"","docs_url":"https://looker.com/docs/r/lookml/types/explore/view_label?version=7.14&amp;lookml=new","has_allowed_values":False,"allowed_values":""}}}</v>
      </c>
      <c r="N63" t="str">
        <f t="shared" si="4"/>
        <v>"type":"string",</v>
      </c>
      <c r="O63" t="str">
        <f t="shared" si="5"/>
        <v>"subtype":"possibly-localized-string",</v>
      </c>
      <c r="P63" t="str">
        <f t="shared" si="6"/>
        <v>"indent":1,</v>
      </c>
      <c r="Q63" t="str">
        <f t="shared" si="9"/>
        <v>"default_value":"",</v>
      </c>
      <c r="R63" t="str">
        <f t="shared" si="10"/>
        <v>"docs_url":"https://looker.com/docs/r/lookml/types/explore/view_label?version=7.14&amp;lookml=new",</v>
      </c>
      <c r="S63" t="str">
        <f t="shared" si="7"/>
        <v>"has_allowed_values":False,</v>
      </c>
      <c r="T63" t="str">
        <f t="shared" si="8"/>
        <v>"allowed_values":""</v>
      </c>
    </row>
    <row r="64" spans="1:20" ht="13" hidden="1" x14ac:dyDescent="0.15">
      <c r="A64" s="7">
        <v>69</v>
      </c>
      <c r="B64" s="6" t="s">
        <v>102</v>
      </c>
      <c r="C64" s="6" t="s">
        <v>89</v>
      </c>
      <c r="D64" s="4" t="s">
        <v>101</v>
      </c>
      <c r="E64" s="1" t="s">
        <v>598</v>
      </c>
      <c r="F64" s="4">
        <v>1</v>
      </c>
      <c r="H64" s="4" t="s">
        <v>199</v>
      </c>
      <c r="I64" s="4" t="b">
        <v>0</v>
      </c>
      <c r="K64" s="4" t="b">
        <f>IF(COUNTIF($B$2:$B64,B64)&gt;1,TRUE,FALSE)</f>
        <v>0</v>
      </c>
      <c r="L64" t="str">
        <f t="shared" si="0"/>
        <v>p.update({"view_name":{"explore":{"type":"string_unquoted","subtype":"view-ref","indent":1,"default_value":"","docs_url":"https://looker.com/docs/r/lookml/types/explore/view_name?version=7.14&amp;lookml=new","has_allowed_values":False,"allowed_values":""}}})</v>
      </c>
      <c r="M64" t="str">
        <f t="shared" si="1"/>
        <v>{"view_name":{"explore":{"type":"string_unquoted","subtype":"view-ref","indent":1,"default_value":"","docs_url":"https://looker.com/docs/r/lookml/types/explore/view_name?version=7.14&amp;lookml=new","has_allowed_values":False,"allowed_values":""}}}</v>
      </c>
      <c r="N64" t="str">
        <f t="shared" si="4"/>
        <v>"type":"string_unquoted",</v>
      </c>
      <c r="O64" t="str">
        <f t="shared" si="5"/>
        <v>"subtype":"view-ref",</v>
      </c>
      <c r="P64" t="str">
        <f t="shared" si="6"/>
        <v>"indent":1,</v>
      </c>
      <c r="Q64" t="str">
        <f t="shared" si="9"/>
        <v>"default_value":"",</v>
      </c>
      <c r="R64" t="str">
        <f t="shared" si="10"/>
        <v>"docs_url":"https://looker.com/docs/r/lookml/types/explore/view_name?version=7.14&amp;lookml=new",</v>
      </c>
      <c r="S64" t="str">
        <f t="shared" si="7"/>
        <v>"has_allowed_values":False,</v>
      </c>
      <c r="T64" t="str">
        <f t="shared" si="8"/>
        <v>"allowed_values":""</v>
      </c>
    </row>
    <row r="65" spans="1:20" ht="13" hidden="1" x14ac:dyDescent="0.15">
      <c r="A65" s="7">
        <v>72</v>
      </c>
      <c r="B65" s="6" t="s">
        <v>1</v>
      </c>
      <c r="C65" s="6" t="s">
        <v>12</v>
      </c>
      <c r="D65" s="4" t="s">
        <v>540</v>
      </c>
      <c r="E65" s="4" t="s">
        <v>540</v>
      </c>
      <c r="F65" s="4">
        <v>2</v>
      </c>
      <c r="H65" s="5" t="s">
        <v>200</v>
      </c>
      <c r="I65" s="4" t="b">
        <v>0</v>
      </c>
      <c r="K65" s="4" t="b">
        <f>IF(COUNTIF($B$2:$B65,B65)&gt;1,TRUE,FALSE)</f>
        <v>0</v>
      </c>
      <c r="L65" t="str">
        <f t="shared" si="0"/>
        <v>p.update({"action":{"dimension":{"type":"anonymous_construct_plural","subtype":"anonymous_construct_plural","indent":2,"default_value":"","docs_url":"https://looker.com/docs/r/lookml/types/dimension/action?version=7.14&amp;lookml=new","has_allowed_values":False,"allowed_values":""}}})</v>
      </c>
      <c r="M65" t="str">
        <f t="shared" si="1"/>
        <v>{"action":{"dimension":{"type":"anonymous_construct_plural","subtype":"anonymous_construct_plural","indent":2,"default_value":"","docs_url":"https://looker.com/docs/r/lookml/types/dimension/action?version=7.14&amp;lookml=new","has_allowed_values":False,"allowed_values":""}}}</v>
      </c>
      <c r="N65" t="str">
        <f t="shared" si="4"/>
        <v>"type":"anonymous_construct_plural",</v>
      </c>
      <c r="O65" t="str">
        <f t="shared" si="5"/>
        <v>"subtype":"anonymous_construct_plural",</v>
      </c>
      <c r="P65" t="str">
        <f t="shared" si="6"/>
        <v>"indent":2,</v>
      </c>
      <c r="Q65" t="str">
        <f t="shared" si="9"/>
        <v>"default_value":"",</v>
      </c>
      <c r="R65" t="str">
        <f t="shared" si="10"/>
        <v>"docs_url":"https://looker.com/docs/r/lookml/types/dimension/action?version=7.14&amp;lookml=new",</v>
      </c>
      <c r="S65" t="str">
        <f t="shared" si="7"/>
        <v>"has_allowed_values":False,</v>
      </c>
      <c r="T65" t="str">
        <f t="shared" si="8"/>
        <v>"allowed_values":""</v>
      </c>
    </row>
    <row r="66" spans="1:20" ht="13" hidden="1" x14ac:dyDescent="0.15">
      <c r="A66" s="7">
        <v>73</v>
      </c>
      <c r="B66" s="6" t="s">
        <v>3</v>
      </c>
      <c r="C66" s="6" t="s">
        <v>12</v>
      </c>
      <c r="D66" s="4" t="s">
        <v>568</v>
      </c>
      <c r="E66" s="4" t="s">
        <v>568</v>
      </c>
      <c r="F66" s="4">
        <v>2</v>
      </c>
      <c r="G66" s="4" t="s">
        <v>604</v>
      </c>
      <c r="H66" s="4" t="s">
        <v>201</v>
      </c>
      <c r="I66" s="4" t="b">
        <v>0</v>
      </c>
      <c r="K66" s="4" t="b">
        <f>IF(COUNTIF($B$2:$B66,B66)&gt;1,TRUE,FALSE)</f>
        <v>0</v>
      </c>
      <c r="L66" t="str">
        <f t="shared" ref="L66:L129" si="11">IF(
K66,"p["""&amp;B66&amp;"""].update({"&amp;""""&amp;C66&amp;""":{"&amp;_xlfn.CONCAT(N66:T66)&amp;"}})","p.update("&amp;M66&amp;")"
)</f>
        <v>p.update({"allow_fill":{"dimension":{"type":"yesno","subtype":"yesno","indent":2,"default_value":"yes","docs_url":"https://looker.com/docs/r/lookml/types/dimension/allow_fill?version=7.14&amp;lookml=new","has_allowed_values":False,"allowed_values":""}}})</v>
      </c>
      <c r="M66" t="str">
        <f t="shared" ref="M66:M129" si="12">"{"&amp;""""&amp;B66
&amp;""":{"&amp;""""&amp;C66&amp;""":{"&amp;_xlfn.CONCAT(N66:T66)&amp;"}}}"</f>
        <v>{"allow_fill":{"dimension":{"type":"yesno","subtype":"yesno","indent":2,"default_value":"yes","docs_url":"https://looker.com/docs/r/lookml/types/dimension/allow_fill?version=7.14&amp;lookml=new","has_allowed_values":False,"allowed_values":""}}}</v>
      </c>
      <c r="N66" t="str">
        <f t="shared" si="4"/>
        <v>"type":"yesno",</v>
      </c>
      <c r="O66" t="str">
        <f t="shared" si="5"/>
        <v>"subtype":"yesno",</v>
      </c>
      <c r="P66" t="str">
        <f t="shared" si="6"/>
        <v>"indent":2,</v>
      </c>
      <c r="Q66" t="str">
        <f t="shared" ref="Q66:Q75" si="13">"""default_value"":"&amp;IF(G66="""""",""""",",IF(LEFT(G66,1)="[",G66,""""&amp;G66&amp;"""")&amp;",")</f>
        <v>"default_value":"yes",</v>
      </c>
      <c r="R66" t="str">
        <f t="shared" si="10"/>
        <v>"docs_url":"https://looker.com/docs/r/lookml/types/dimension/allow_fill?version=7.14&amp;lookml=new",</v>
      </c>
      <c r="S66" t="str">
        <f t="shared" si="7"/>
        <v>"has_allowed_values":False,</v>
      </c>
      <c r="T66" t="str">
        <f t="shared" si="8"/>
        <v>"allowed_values":""</v>
      </c>
    </row>
    <row r="67" spans="1:20" ht="13" hidden="1" x14ac:dyDescent="0.15">
      <c r="A67" s="7">
        <v>74</v>
      </c>
      <c r="B67" s="6" t="s">
        <v>4</v>
      </c>
      <c r="C67" s="6" t="s">
        <v>12</v>
      </c>
      <c r="D67" s="4" t="s">
        <v>568</v>
      </c>
      <c r="E67" s="4" t="s">
        <v>568</v>
      </c>
      <c r="F67" s="4">
        <v>2</v>
      </c>
      <c r="G67" s="4" t="s">
        <v>603</v>
      </c>
      <c r="H67" s="4" t="s">
        <v>202</v>
      </c>
      <c r="I67" s="4" t="b">
        <v>0</v>
      </c>
      <c r="K67" s="4" t="b">
        <f>IF(COUNTIF($B$2:$B67,B67)&gt;1,TRUE,FALSE)</f>
        <v>0</v>
      </c>
      <c r="L67" t="str">
        <f t="shared" si="11"/>
        <v>p.update({"alpha_sort":{"dimension":{"type":"yesno","subtype":"yesno","indent":2,"default_value":"no","docs_url":"https://looker.com/docs/r/lookml/types/dimension/alpha_sort?version=7.14&amp;lookml=new","has_allowed_values":False,"allowed_values":""}}})</v>
      </c>
      <c r="M67" t="str">
        <f t="shared" si="12"/>
        <v>{"alpha_sort":{"dimension":{"type":"yesno","subtype":"yesno","indent":2,"default_value":"no","docs_url":"https://looker.com/docs/r/lookml/types/dimension/alpha_sort?version=7.14&amp;lookml=new","has_allowed_values":False,"allowed_values":""}}}</v>
      </c>
      <c r="N67" t="str">
        <f t="shared" ref="N67:N130" si="14">"""type"":"&amp;""""&amp;E67&amp;""","</f>
        <v>"type":"yesno",</v>
      </c>
      <c r="O67" t="str">
        <f t="shared" ref="O67:O130" si="15">"""subtype"":"&amp;""""&amp;D67&amp;""","</f>
        <v>"subtype":"yesno",</v>
      </c>
      <c r="P67" t="str">
        <f t="shared" ref="P67:P130" si="16">"""indent"":"&amp;F67&amp;","</f>
        <v>"indent":2,</v>
      </c>
      <c r="Q67" t="str">
        <f t="shared" si="13"/>
        <v>"default_value":"no",</v>
      </c>
      <c r="R67" t="str">
        <f t="shared" ref="R67:R130" si="17">"""docs_url"":"&amp;""""&amp;H67&amp;""","</f>
        <v>"docs_url":"https://looker.com/docs/r/lookml/types/dimension/alpha_sort?version=7.14&amp;lookml=new",</v>
      </c>
      <c r="S67" t="str">
        <f t="shared" ref="S67:S130" si="18">"""has_allowed_values"":"&amp;IF(I67,"True,","False"&amp;",")</f>
        <v>"has_allowed_values":False,</v>
      </c>
      <c r="T67" t="str">
        <f t="shared" ref="T67:T130" si="19">"""allowed_values"":"&amp;IF(J67&lt;&gt;"",J67,"""""")</f>
        <v>"allowed_values":""</v>
      </c>
    </row>
    <row r="68" spans="1:20" ht="13" hidden="1" x14ac:dyDescent="0.15">
      <c r="A68" s="7">
        <v>75</v>
      </c>
      <c r="B68" s="6" t="s">
        <v>5</v>
      </c>
      <c r="C68" s="6" t="s">
        <v>12</v>
      </c>
      <c r="D68" s="4" t="s">
        <v>568</v>
      </c>
      <c r="E68" s="4" t="s">
        <v>568</v>
      </c>
      <c r="F68" s="4">
        <v>2</v>
      </c>
      <c r="G68" s="4" t="s">
        <v>603</v>
      </c>
      <c r="H68" s="4" t="s">
        <v>203</v>
      </c>
      <c r="I68" s="4" t="b">
        <v>0</v>
      </c>
      <c r="K68" s="4" t="b">
        <f>IF(COUNTIF($B$2:$B68,B68)&gt;1,TRUE,FALSE)</f>
        <v>0</v>
      </c>
      <c r="L68" t="str">
        <f t="shared" si="11"/>
        <v>p.update({"bypass_suggest_restrictions":{"dimension":{"type":"yesno","subtype":"yesno","indent":2,"default_value":"no","docs_url":"https://looker.com/docs/r/lookml/types/dimension/bypass_suggest_restrictions?version=7.14&amp;lookml=new","has_allowed_values":False,"allowed_values":""}}})</v>
      </c>
      <c r="M68" t="str">
        <f t="shared" si="12"/>
        <v>{"bypass_suggest_restrictions":{"dimension":{"type":"yesno","subtype":"yesno","indent":2,"default_value":"no","docs_url":"https://looker.com/docs/r/lookml/types/dimension/bypass_suggest_restrictions?version=7.14&amp;lookml=new","has_allowed_values":False,"allowed_values":""}}}</v>
      </c>
      <c r="N68" t="str">
        <f t="shared" si="14"/>
        <v>"type":"yesno",</v>
      </c>
      <c r="O68" t="str">
        <f t="shared" si="15"/>
        <v>"subtype":"yesno",</v>
      </c>
      <c r="P68" t="str">
        <f t="shared" si="16"/>
        <v>"indent":2,</v>
      </c>
      <c r="Q68" t="str">
        <f t="shared" si="13"/>
        <v>"default_value":"no",</v>
      </c>
      <c r="R68" t="str">
        <f t="shared" si="17"/>
        <v>"docs_url":"https://looker.com/docs/r/lookml/types/dimension/bypass_suggest_restrictions?version=7.14&amp;lookml=new",</v>
      </c>
      <c r="S68" t="str">
        <f t="shared" si="18"/>
        <v>"has_allowed_values":False,</v>
      </c>
      <c r="T68" t="str">
        <f t="shared" si="19"/>
        <v>"allowed_values":""</v>
      </c>
    </row>
    <row r="69" spans="1:20" ht="13" hidden="1" x14ac:dyDescent="0.15">
      <c r="A69" s="7">
        <v>76</v>
      </c>
      <c r="B69" s="6" t="s">
        <v>6</v>
      </c>
      <c r="C69" s="6" t="s">
        <v>12</v>
      </c>
      <c r="D69" s="4" t="s">
        <v>568</v>
      </c>
      <c r="E69" s="4" t="s">
        <v>568</v>
      </c>
      <c r="F69" s="4">
        <v>2</v>
      </c>
      <c r="G69" s="4" t="s">
        <v>604</v>
      </c>
      <c r="H69" s="4" t="s">
        <v>204</v>
      </c>
      <c r="I69" s="4" t="b">
        <v>0</v>
      </c>
      <c r="K69" s="4" t="b">
        <f>IF(COUNTIF($B$2:$B69,B69)&gt;1,TRUE,FALSE)</f>
        <v>0</v>
      </c>
      <c r="L69" t="str">
        <f t="shared" si="11"/>
        <v>p.update({"can_filter":{"dimension":{"type":"yesno","subtype":"yesno","indent":2,"default_value":"yes","docs_url":"https://looker.com/docs/r/lookml/types/dimension/can_filter?version=7.14&amp;lookml=new","has_allowed_values":False,"allowed_values":""}}})</v>
      </c>
      <c r="M69" t="str">
        <f t="shared" si="12"/>
        <v>{"can_filter":{"dimension":{"type":"yesno","subtype":"yesno","indent":2,"default_value":"yes","docs_url":"https://looker.com/docs/r/lookml/types/dimension/can_filter?version=7.14&amp;lookml=new","has_allowed_values":False,"allowed_values":""}}}</v>
      </c>
      <c r="N69" t="str">
        <f t="shared" si="14"/>
        <v>"type":"yesno",</v>
      </c>
      <c r="O69" t="str">
        <f t="shared" si="15"/>
        <v>"subtype":"yesno",</v>
      </c>
      <c r="P69" t="str">
        <f t="shared" si="16"/>
        <v>"indent":2,</v>
      </c>
      <c r="Q69" t="str">
        <f t="shared" si="13"/>
        <v>"default_value":"yes",</v>
      </c>
      <c r="R69" t="str">
        <f t="shared" si="17"/>
        <v>"docs_url":"https://looker.com/docs/r/lookml/types/dimension/can_filter?version=7.14&amp;lookml=new",</v>
      </c>
      <c r="S69" t="str">
        <f t="shared" si="18"/>
        <v>"has_allowed_values":False,</v>
      </c>
      <c r="T69" t="str">
        <f t="shared" si="19"/>
        <v>"allowed_values":""</v>
      </c>
    </row>
    <row r="70" spans="1:20" ht="13" hidden="1" x14ac:dyDescent="0.15">
      <c r="A70" s="7">
        <v>77</v>
      </c>
      <c r="B70" s="6" t="s">
        <v>7</v>
      </c>
      <c r="C70" s="6" t="s">
        <v>12</v>
      </c>
      <c r="D70" s="4" t="s">
        <v>539</v>
      </c>
      <c r="E70" s="4" t="s">
        <v>539</v>
      </c>
      <c r="F70" s="4">
        <v>2</v>
      </c>
      <c r="H70" s="4" t="s">
        <v>205</v>
      </c>
      <c r="I70" s="4" t="b">
        <v>0</v>
      </c>
      <c r="K70" s="4" t="b">
        <f>IF(COUNTIF($B$2:$B70,B70)&gt;1,TRUE,FALSE)</f>
        <v>0</v>
      </c>
      <c r="L70" t="str">
        <f t="shared" si="11"/>
        <v>p.update({"case":{"dimension":{"type":"anonymous_construct","subtype":"anonymous_construct","indent":2,"default_value":"","docs_url":"https://looker.com/docs/r/lookml/types/dimension/case?version=7.14&amp;lookml=new","has_allowed_values":False,"allowed_values":""}}})</v>
      </c>
      <c r="M70" t="str">
        <f t="shared" si="12"/>
        <v>{"case":{"dimension":{"type":"anonymous_construct","subtype":"anonymous_construct","indent":2,"default_value":"","docs_url":"https://looker.com/docs/r/lookml/types/dimension/case?version=7.14&amp;lookml=new","has_allowed_values":False,"allowed_values":""}}}</v>
      </c>
      <c r="N70" t="str">
        <f t="shared" si="14"/>
        <v>"type":"anonymous_construct",</v>
      </c>
      <c r="O70" t="str">
        <f t="shared" si="15"/>
        <v>"subtype":"anonymous_construct",</v>
      </c>
      <c r="P70" t="str">
        <f t="shared" si="16"/>
        <v>"indent":2,</v>
      </c>
      <c r="Q70" t="str">
        <f t="shared" si="13"/>
        <v>"default_value":"",</v>
      </c>
      <c r="R70" t="str">
        <f t="shared" si="17"/>
        <v>"docs_url":"https://looker.com/docs/r/lookml/types/dimension/case?version=7.14&amp;lookml=new",</v>
      </c>
      <c r="S70" t="str">
        <f t="shared" si="18"/>
        <v>"has_allowed_values":False,</v>
      </c>
      <c r="T70" t="str">
        <f t="shared" si="19"/>
        <v>"allowed_values":""</v>
      </c>
    </row>
    <row r="71" spans="1:20" ht="13" hidden="1" x14ac:dyDescent="0.15">
      <c r="A71" s="7">
        <v>78</v>
      </c>
      <c r="B71" s="6" t="s">
        <v>8</v>
      </c>
      <c r="C71" s="6" t="s">
        <v>12</v>
      </c>
      <c r="D71" s="4" t="s">
        <v>568</v>
      </c>
      <c r="E71" s="4" t="s">
        <v>568</v>
      </c>
      <c r="F71" s="4">
        <v>2</v>
      </c>
      <c r="G71" s="4" t="s">
        <v>604</v>
      </c>
      <c r="H71" s="4" t="s">
        <v>206</v>
      </c>
      <c r="I71" s="4" t="b">
        <v>0</v>
      </c>
      <c r="K71" s="4" t="b">
        <f>IF(COUNTIF($B$2:$B71,B71)&gt;1,TRUE,FALSE)</f>
        <v>1</v>
      </c>
      <c r="L71" t="str">
        <f t="shared" si="11"/>
        <v>p["case_sensitive"].update({"dimension":{"type":"yesno","subtype":"yesno","indent":2,"default_value":"yes","docs_url":"https://looker.com/docs/r/lookml/types/dimension/case_sensitive?version=7.14&amp;lookml=new","has_allowed_values":False,"allowed_values":""}})</v>
      </c>
      <c r="M71" t="str">
        <f t="shared" si="12"/>
        <v>{"case_sensitive":{"dimension":{"type":"yesno","subtype":"yesno","indent":2,"default_value":"yes","docs_url":"https://looker.com/docs/r/lookml/types/dimension/case_sensitive?version=7.14&amp;lookml=new","has_allowed_values":False,"allowed_values":""}}}</v>
      </c>
      <c r="N71" t="str">
        <f t="shared" si="14"/>
        <v>"type":"yesno",</v>
      </c>
      <c r="O71" t="str">
        <f t="shared" si="15"/>
        <v>"subtype":"yesno",</v>
      </c>
      <c r="P71" t="str">
        <f t="shared" si="16"/>
        <v>"indent":2,</v>
      </c>
      <c r="Q71" t="str">
        <f t="shared" si="13"/>
        <v>"default_value":"yes",</v>
      </c>
      <c r="R71" t="str">
        <f t="shared" si="17"/>
        <v>"docs_url":"https://looker.com/docs/r/lookml/types/dimension/case_sensitive?version=7.14&amp;lookml=new",</v>
      </c>
      <c r="S71" t="str">
        <f t="shared" si="18"/>
        <v>"has_allowed_values":False,</v>
      </c>
      <c r="T71" t="str">
        <f t="shared" si="19"/>
        <v>"allowed_values":""</v>
      </c>
    </row>
    <row r="72" spans="1:20" ht="13" hidden="1" x14ac:dyDescent="0.15">
      <c r="A72" s="7">
        <v>79</v>
      </c>
      <c r="B72" s="6" t="s">
        <v>10</v>
      </c>
      <c r="C72" s="6" t="s">
        <v>12</v>
      </c>
      <c r="D72" s="4" t="s">
        <v>550</v>
      </c>
      <c r="E72" s="4" t="s">
        <v>550</v>
      </c>
      <c r="F72" s="4">
        <v>2</v>
      </c>
      <c r="G72" s="4" t="s">
        <v>574</v>
      </c>
      <c r="H72" s="4" t="s">
        <v>207</v>
      </c>
      <c r="I72" s="4" t="b">
        <v>1</v>
      </c>
      <c r="J72" s="4" t="s">
        <v>575</v>
      </c>
      <c r="K72" s="4" t="b">
        <f>IF(COUNTIF($B$2:$B72,B72)&gt;1,TRUE,FALSE)</f>
        <v>0</v>
      </c>
      <c r="L72" t="str">
        <f t="shared" si="11"/>
        <v>p.update({"datatype":{"dimension":{"type":"options","subtype":"options","indent":2,"default_value":"timestamp","docs_url":"https://looker.com/docs/r/lookml/types/dimension/datatype?version=7.14&amp;lookml=new","has_allowed_values":True,"allowed_values":["timestamp","epoch","date","datetime","timestamp", "yyyymmdd"]}}})</v>
      </c>
      <c r="M72" t="str">
        <f t="shared" si="12"/>
        <v>{"datatype":{"dimension":{"type":"options","subtype":"options","indent":2,"default_value":"timestamp","docs_url":"https://looker.com/docs/r/lookml/types/dimension/datatype?version=7.14&amp;lookml=new","has_allowed_values":True,"allowed_values":["timestamp","epoch","date","datetime","timestamp", "yyyymmdd"]}}}</v>
      </c>
      <c r="N72" t="str">
        <f t="shared" si="14"/>
        <v>"type":"options",</v>
      </c>
      <c r="O72" t="str">
        <f t="shared" si="15"/>
        <v>"subtype":"options",</v>
      </c>
      <c r="P72" t="str">
        <f t="shared" si="16"/>
        <v>"indent":2,</v>
      </c>
      <c r="Q72" t="str">
        <f t="shared" si="13"/>
        <v>"default_value":"timestamp",</v>
      </c>
      <c r="R72" t="str">
        <f t="shared" si="17"/>
        <v>"docs_url":"https://looker.com/docs/r/lookml/types/dimension/datatype?version=7.14&amp;lookml=new",</v>
      </c>
      <c r="S72" t="str">
        <f t="shared" si="18"/>
        <v>"has_allowed_values":True,</v>
      </c>
      <c r="T72" t="str">
        <f t="shared" si="19"/>
        <v>"allowed_values":["timestamp","epoch","date","datetime","timestamp", "yyyymmdd"]</v>
      </c>
    </row>
    <row r="73" spans="1:20" ht="13" hidden="1" x14ac:dyDescent="0.15">
      <c r="A73" s="7">
        <v>80</v>
      </c>
      <c r="B73" s="6" t="s">
        <v>13</v>
      </c>
      <c r="C73" s="6" t="s">
        <v>12</v>
      </c>
      <c r="D73" s="4" t="s">
        <v>17</v>
      </c>
      <c r="E73" s="4" t="s">
        <v>595</v>
      </c>
      <c r="F73" s="4">
        <v>2</v>
      </c>
      <c r="H73" s="4" t="s">
        <v>208</v>
      </c>
      <c r="I73" s="4" t="b">
        <v>0</v>
      </c>
      <c r="K73" s="4" t="b">
        <f>IF(COUNTIF($B$2:$B73,B73)&gt;1,TRUE,FALSE)</f>
        <v>1</v>
      </c>
      <c r="L73" t="str">
        <f t="shared" si="11"/>
        <v>p["drill_fields"].update({"dimension":{"type":"list_unquoted","subtype":"field-ref","indent":2,"default_value":"","docs_url":"https://looker.com/docs/r/lookml/types/dimension/drill_fields?version=7.14&amp;lookml=new","has_allowed_values":False,"allowed_values":""}})</v>
      </c>
      <c r="M73" t="str">
        <f t="shared" si="12"/>
        <v>{"drill_fields":{"dimension":{"type":"list_unquoted","subtype":"field-ref","indent":2,"default_value":"","docs_url":"https://looker.com/docs/r/lookml/types/dimension/drill_fields?version=7.14&amp;lookml=new","has_allowed_values":False,"allowed_values":""}}}</v>
      </c>
      <c r="N73" t="str">
        <f t="shared" si="14"/>
        <v>"type":"list_unquoted",</v>
      </c>
      <c r="O73" t="str">
        <f t="shared" si="15"/>
        <v>"subtype":"field-ref",</v>
      </c>
      <c r="P73" t="str">
        <f t="shared" si="16"/>
        <v>"indent":2,</v>
      </c>
      <c r="Q73" t="str">
        <f t="shared" si="13"/>
        <v>"default_value":"",</v>
      </c>
      <c r="R73" t="str">
        <f t="shared" si="17"/>
        <v>"docs_url":"https://looker.com/docs/r/lookml/types/dimension/drill_fields?version=7.14&amp;lookml=new",</v>
      </c>
      <c r="S73" t="str">
        <f t="shared" si="18"/>
        <v>"has_allowed_values":False,</v>
      </c>
      <c r="T73" t="str">
        <f t="shared" si="19"/>
        <v>"allowed_values":""</v>
      </c>
    </row>
    <row r="74" spans="1:20" ht="13" hidden="1" x14ac:dyDescent="0.15">
      <c r="A74" s="7">
        <v>81</v>
      </c>
      <c r="B74" s="6" t="s">
        <v>14</v>
      </c>
      <c r="C74" s="6" t="s">
        <v>12</v>
      </c>
      <c r="D74" s="4" t="s">
        <v>17</v>
      </c>
      <c r="E74" s="1" t="s">
        <v>598</v>
      </c>
      <c r="F74" s="4">
        <v>2</v>
      </c>
      <c r="H74" s="4" t="s">
        <v>209</v>
      </c>
      <c r="I74" s="4" t="b">
        <v>0</v>
      </c>
      <c r="K74" s="4" t="b">
        <f>IF(COUNTIF($B$2:$B74,B74)&gt;1,TRUE,FALSE)</f>
        <v>0</v>
      </c>
      <c r="L74" t="str">
        <f t="shared" si="11"/>
        <v>p.update({"end_location_field":{"dimension":{"type":"string_unquoted","subtype":"field-ref","indent":2,"default_value":"","docs_url":"https://looker.com/docs/r/lookml/types/dimension/end_location_field?version=7.14&amp;lookml=new","has_allowed_values":False,"allowed_values":""}}})</v>
      </c>
      <c r="M74" t="str">
        <f t="shared" si="12"/>
        <v>{"end_location_field":{"dimension":{"type":"string_unquoted","subtype":"field-ref","indent":2,"default_value":"","docs_url":"https://looker.com/docs/r/lookml/types/dimension/end_location_field?version=7.14&amp;lookml=new","has_allowed_values":False,"allowed_values":""}}}</v>
      </c>
      <c r="N74" t="str">
        <f t="shared" si="14"/>
        <v>"type":"string_unquoted",</v>
      </c>
      <c r="O74" t="str">
        <f t="shared" si="15"/>
        <v>"subtype":"field-ref",</v>
      </c>
      <c r="P74" t="str">
        <f t="shared" si="16"/>
        <v>"indent":2,</v>
      </c>
      <c r="Q74" t="str">
        <f t="shared" si="13"/>
        <v>"default_value":"",</v>
      </c>
      <c r="R74" t="str">
        <f t="shared" si="17"/>
        <v>"docs_url":"https://looker.com/docs/r/lookml/types/dimension/end_location_field?version=7.14&amp;lookml=new",</v>
      </c>
      <c r="S74" t="str">
        <f t="shared" si="18"/>
        <v>"has_allowed_values":False,</v>
      </c>
      <c r="T74" t="str">
        <f t="shared" si="19"/>
        <v>"allowed_values":""</v>
      </c>
    </row>
    <row r="75" spans="1:20" ht="13" hidden="1" x14ac:dyDescent="0.15">
      <c r="A75" s="7">
        <v>82</v>
      </c>
      <c r="B75" s="6" t="s">
        <v>16</v>
      </c>
      <c r="C75" s="6" t="s">
        <v>12</v>
      </c>
      <c r="D75" s="4" t="s">
        <v>0</v>
      </c>
      <c r="E75" s="4" t="s">
        <v>0</v>
      </c>
      <c r="F75" s="4">
        <v>2</v>
      </c>
      <c r="G75" s="4" t="s">
        <v>591</v>
      </c>
      <c r="H75" s="4" t="s">
        <v>210</v>
      </c>
      <c r="I75" s="4" t="b">
        <v>0</v>
      </c>
      <c r="K75" s="4" t="b">
        <f>IF(COUNTIF($B$2:$B75,B75)&gt;1,TRUE,FALSE)</f>
        <v>0</v>
      </c>
      <c r="L75" t="str">
        <f t="shared" si="11"/>
        <v>p.update({"fanout_on":{"dimension":{"type":"string","subtype":"string","indent":2,"default_value":"","docs_url":"https://looker.com/docs/r/lookml/types/dimension/fanout_on?version=7.14&amp;lookml=new","has_allowed_values":False,"allowed_values":""}}})</v>
      </c>
      <c r="M75" t="str">
        <f t="shared" si="12"/>
        <v>{"fanout_on":{"dimension":{"type":"string","subtype":"string","indent":2,"default_value":"","docs_url":"https://looker.com/docs/r/lookml/types/dimension/fanout_on?version=7.14&amp;lookml=new","has_allowed_values":False,"allowed_values":""}}}</v>
      </c>
      <c r="N75" t="str">
        <f t="shared" si="14"/>
        <v>"type":"string",</v>
      </c>
      <c r="O75" t="str">
        <f t="shared" si="15"/>
        <v>"subtype":"string",</v>
      </c>
      <c r="P75" t="str">
        <f t="shared" si="16"/>
        <v>"indent":2,</v>
      </c>
      <c r="Q75" t="str">
        <f t="shared" si="13"/>
        <v>"default_value":"",</v>
      </c>
      <c r="R75" t="str">
        <f t="shared" si="17"/>
        <v>"docs_url":"https://looker.com/docs/r/lookml/types/dimension/fanout_on?version=7.14&amp;lookml=new",</v>
      </c>
      <c r="S75" t="str">
        <f t="shared" si="18"/>
        <v>"has_allowed_values":False,</v>
      </c>
      <c r="T75" t="str">
        <f t="shared" si="19"/>
        <v>"allowed_values":""</v>
      </c>
    </row>
    <row r="76" spans="1:20" ht="13" hidden="1" x14ac:dyDescent="0.15">
      <c r="A76" s="7">
        <v>83</v>
      </c>
      <c r="B76" s="6" t="s">
        <v>18</v>
      </c>
      <c r="C76" s="6" t="s">
        <v>12</v>
      </c>
      <c r="D76" s="4" t="s">
        <v>568</v>
      </c>
      <c r="E76" s="4" t="s">
        <v>568</v>
      </c>
      <c r="F76" s="4">
        <v>2</v>
      </c>
      <c r="G76" s="4" t="s">
        <v>604</v>
      </c>
      <c r="H76" s="4" t="s">
        <v>211</v>
      </c>
      <c r="I76" s="4" t="b">
        <v>0</v>
      </c>
      <c r="K76" s="4" t="b">
        <f>IF(COUNTIF($B$2:$B76,B76)&gt;1,TRUE,FALSE)</f>
        <v>0</v>
      </c>
      <c r="L76" t="str">
        <f t="shared" si="11"/>
        <v>p.update({"full_suggestions":{"dimension":{"type":"yesno","subtype":"yesno","indent":2,"default_value":"yes","docs_url":"https://looker.com/docs/r/lookml/types/dimension/full_suggestions?version=7.14&amp;lookml=new","has_allowed_values":False,"allowed_values":""}}})</v>
      </c>
      <c r="M76" t="str">
        <f t="shared" si="12"/>
        <v>{"full_suggestions":{"dimension":{"type":"yesno","subtype":"yesno","indent":2,"default_value":"yes","docs_url":"https://looker.com/docs/r/lookml/types/dimension/full_suggestions?version=7.14&amp;lookml=new","has_allowed_values":False,"allowed_values":""}}}</v>
      </c>
      <c r="N76" t="str">
        <f t="shared" si="14"/>
        <v>"type":"yesno",</v>
      </c>
      <c r="O76" t="str">
        <f t="shared" si="15"/>
        <v>"subtype":"yesno",</v>
      </c>
      <c r="P76" t="str">
        <f t="shared" si="16"/>
        <v>"indent":2,</v>
      </c>
      <c r="Q76" t="str">
        <f t="shared" ref="Q76:Q139" si="20">"""default_value"":"&amp;IF(G76="""""",""""",",IF(LEFT(G76,1)="[",G76,""""&amp;G76&amp;"""")&amp;",")</f>
        <v>"default_value":"yes",</v>
      </c>
      <c r="R76" t="str">
        <f t="shared" si="17"/>
        <v>"docs_url":"https://looker.com/docs/r/lookml/types/dimension/full_suggestions?version=7.14&amp;lookml=new",</v>
      </c>
      <c r="S76" t="str">
        <f t="shared" si="18"/>
        <v>"has_allowed_values":False,</v>
      </c>
      <c r="T76" t="str">
        <f t="shared" si="19"/>
        <v>"allowed_values":""</v>
      </c>
    </row>
    <row r="77" spans="1:20" ht="13" hidden="1" x14ac:dyDescent="0.15">
      <c r="A77" s="7">
        <v>84</v>
      </c>
      <c r="B77" s="6" t="s">
        <v>20</v>
      </c>
      <c r="C77" s="6" t="s">
        <v>12</v>
      </c>
      <c r="D77" s="4" t="s">
        <v>29</v>
      </c>
      <c r="E77" s="4" t="s">
        <v>0</v>
      </c>
      <c r="F77" s="4">
        <v>2</v>
      </c>
      <c r="G77" s="4" t="s">
        <v>591</v>
      </c>
      <c r="H77" s="4" t="s">
        <v>212</v>
      </c>
      <c r="I77" s="4" t="b">
        <v>0</v>
      </c>
      <c r="K77" s="4" t="b">
        <f>IF(COUNTIF($B$2:$B77,B77)&gt;1,TRUE,FALSE)</f>
        <v>1</v>
      </c>
      <c r="L77" t="str">
        <f t="shared" si="11"/>
        <v>p["group_label"].update({"dimension":{"type":"string","subtype":"possibly-localized-string","indent":2,"default_value":"","docs_url":"https://looker.com/docs/r/lookml/types/dimension/group_label?version=7.14&amp;lookml=new","has_allowed_values":False,"allowed_values":""}})</v>
      </c>
      <c r="M77" t="str">
        <f t="shared" si="12"/>
        <v>{"group_label":{"dimension":{"type":"string","subtype":"possibly-localized-string","indent":2,"default_value":"","docs_url":"https://looker.com/docs/r/lookml/types/dimension/group_label?version=7.14&amp;lookml=new","has_allowed_values":False,"allowed_values":""}}}</v>
      </c>
      <c r="N77" t="str">
        <f t="shared" si="14"/>
        <v>"type":"string",</v>
      </c>
      <c r="O77" t="str">
        <f t="shared" si="15"/>
        <v>"subtype":"possibly-localized-string",</v>
      </c>
      <c r="P77" t="str">
        <f t="shared" si="16"/>
        <v>"indent":2,</v>
      </c>
      <c r="Q77" t="str">
        <f t="shared" si="20"/>
        <v>"default_value":"",</v>
      </c>
      <c r="R77" t="str">
        <f t="shared" si="17"/>
        <v>"docs_url":"https://looker.com/docs/r/lookml/types/dimension/group_label?version=7.14&amp;lookml=new",</v>
      </c>
      <c r="S77" t="str">
        <f t="shared" si="18"/>
        <v>"has_allowed_values":False,</v>
      </c>
      <c r="T77" t="str">
        <f t="shared" si="19"/>
        <v>"allowed_values":""</v>
      </c>
    </row>
    <row r="78" spans="1:20" ht="13" hidden="1" x14ac:dyDescent="0.15">
      <c r="A78" s="7">
        <v>85</v>
      </c>
      <c r="B78" s="6" t="s">
        <v>19</v>
      </c>
      <c r="C78" s="6" t="s">
        <v>12</v>
      </c>
      <c r="D78" s="4" t="s">
        <v>29</v>
      </c>
      <c r="E78" s="4" t="s">
        <v>0</v>
      </c>
      <c r="F78" s="4">
        <v>2</v>
      </c>
      <c r="G78" s="4" t="s">
        <v>591</v>
      </c>
      <c r="H78" s="4" t="s">
        <v>213</v>
      </c>
      <c r="I78" s="4" t="b">
        <v>0</v>
      </c>
      <c r="K78" s="4" t="b">
        <f>IF(COUNTIF($B$2:$B78,B78)&gt;1,TRUE,FALSE)</f>
        <v>0</v>
      </c>
      <c r="L78" t="str">
        <f t="shared" si="11"/>
        <v>p.update({"group_item_label":{"dimension":{"type":"string","subtype":"possibly-localized-string","indent":2,"default_value":"","docs_url":"https://looker.com/docs/r/lookml/types/dimension/group_item_label?version=7.14&amp;lookml=new","has_allowed_values":False,"allowed_values":""}}})</v>
      </c>
      <c r="M78" t="str">
        <f t="shared" si="12"/>
        <v>{"group_item_label":{"dimension":{"type":"string","subtype":"possibly-localized-string","indent":2,"default_value":"","docs_url":"https://looker.com/docs/r/lookml/types/dimension/group_item_label?version=7.14&amp;lookml=new","has_allowed_values":False,"allowed_values":""}}}</v>
      </c>
      <c r="N78" t="str">
        <f t="shared" si="14"/>
        <v>"type":"string",</v>
      </c>
      <c r="O78" t="str">
        <f t="shared" si="15"/>
        <v>"subtype":"possibly-localized-string",</v>
      </c>
      <c r="P78" t="str">
        <f t="shared" si="16"/>
        <v>"indent":2,</v>
      </c>
      <c r="Q78" t="str">
        <f t="shared" si="20"/>
        <v>"default_value":"",</v>
      </c>
      <c r="R78" t="str">
        <f t="shared" si="17"/>
        <v>"docs_url":"https://looker.com/docs/r/lookml/types/dimension/group_item_label?version=7.14&amp;lookml=new",</v>
      </c>
      <c r="S78" t="str">
        <f t="shared" si="18"/>
        <v>"has_allowed_values":False,</v>
      </c>
      <c r="T78" t="str">
        <f t="shared" si="19"/>
        <v>"allowed_values":""</v>
      </c>
    </row>
    <row r="79" spans="1:20" ht="13" hidden="1" x14ac:dyDescent="0.15">
      <c r="A79" s="7">
        <v>86</v>
      </c>
      <c r="B79" s="6" t="s">
        <v>22</v>
      </c>
      <c r="C79" s="6" t="s">
        <v>12</v>
      </c>
      <c r="D79" s="4" t="s">
        <v>612</v>
      </c>
      <c r="E79" s="4" t="s">
        <v>22</v>
      </c>
      <c r="F79" s="4">
        <v>2</v>
      </c>
      <c r="G79" s="4" t="s">
        <v>591</v>
      </c>
      <c r="H79" s="4" t="s">
        <v>214</v>
      </c>
      <c r="I79" s="4" t="b">
        <v>0</v>
      </c>
      <c r="K79" s="4" t="b">
        <f>IF(COUNTIF($B$2:$B79,B79)&gt;1,TRUE,FALSE)</f>
        <v>0</v>
      </c>
      <c r="L79" t="str">
        <f t="shared" si="11"/>
        <v>p.update({"html":{"dimension":{"type":"html","subtype":"html-block ","indent":2,"default_value":"","docs_url":"https://looker.com/docs/r/lookml/types/dimension/html?version=7.14&amp;lookml=new","has_allowed_values":False,"allowed_values":""}}})</v>
      </c>
      <c r="M79" t="str">
        <f t="shared" si="12"/>
        <v>{"html":{"dimension":{"type":"html","subtype":"html-block ","indent":2,"default_value":"","docs_url":"https://looker.com/docs/r/lookml/types/dimension/html?version=7.14&amp;lookml=new","has_allowed_values":False,"allowed_values":""}}}</v>
      </c>
      <c r="N79" t="str">
        <f t="shared" si="14"/>
        <v>"type":"html",</v>
      </c>
      <c r="O79" t="str">
        <f t="shared" si="15"/>
        <v>"subtype":"html-block ",</v>
      </c>
      <c r="P79" t="str">
        <f t="shared" si="16"/>
        <v>"indent":2,</v>
      </c>
      <c r="Q79" t="str">
        <f t="shared" si="20"/>
        <v>"default_value":"",</v>
      </c>
      <c r="R79" t="str">
        <f t="shared" si="17"/>
        <v>"docs_url":"https://looker.com/docs/r/lookml/types/dimension/html?version=7.14&amp;lookml=new",</v>
      </c>
      <c r="S79" t="str">
        <f t="shared" si="18"/>
        <v>"has_allowed_values":False,</v>
      </c>
      <c r="T79" t="str">
        <f t="shared" si="19"/>
        <v>"allowed_values":""</v>
      </c>
    </row>
    <row r="80" spans="1:20" ht="13" hidden="1" x14ac:dyDescent="0.15">
      <c r="A80" s="7">
        <v>87</v>
      </c>
      <c r="B80" s="6" t="s">
        <v>24</v>
      </c>
      <c r="C80" s="6" t="s">
        <v>12</v>
      </c>
      <c r="D80" s="4" t="s">
        <v>17</v>
      </c>
      <c r="E80" s="1" t="s">
        <v>598</v>
      </c>
      <c r="F80" s="4">
        <v>2</v>
      </c>
      <c r="H80" s="4" t="s">
        <v>215</v>
      </c>
      <c r="I80" s="4" t="b">
        <v>0</v>
      </c>
      <c r="K80" s="4" t="b">
        <f>IF(COUNTIF($B$2:$B80,B80)&gt;1,TRUE,FALSE)</f>
        <v>0</v>
      </c>
      <c r="L80" t="str">
        <f t="shared" si="11"/>
        <v>p.update({"label_from_parameter":{"dimension":{"type":"string_unquoted","subtype":"field-ref","indent":2,"default_value":"","docs_url":"https://looker.com/docs/r/lookml/types/dimension/label_from_parameter?version=7.14&amp;lookml=new","has_allowed_values":False,"allowed_values":""}}})</v>
      </c>
      <c r="M80" t="str">
        <f t="shared" si="12"/>
        <v>{"label_from_parameter":{"dimension":{"type":"string_unquoted","subtype":"field-ref","indent":2,"default_value":"","docs_url":"https://looker.com/docs/r/lookml/types/dimension/label_from_parameter?version=7.14&amp;lookml=new","has_allowed_values":False,"allowed_values":""}}}</v>
      </c>
      <c r="N80" t="str">
        <f t="shared" si="14"/>
        <v>"type":"string_unquoted",</v>
      </c>
      <c r="O80" t="str">
        <f t="shared" si="15"/>
        <v>"subtype":"field-ref",</v>
      </c>
      <c r="P80" t="str">
        <f t="shared" si="16"/>
        <v>"indent":2,</v>
      </c>
      <c r="Q80" t="str">
        <f t="shared" si="20"/>
        <v>"default_value":"",</v>
      </c>
      <c r="R80" t="str">
        <f t="shared" si="17"/>
        <v>"docs_url":"https://looker.com/docs/r/lookml/types/dimension/label_from_parameter?version=7.14&amp;lookml=new",</v>
      </c>
      <c r="S80" t="str">
        <f t="shared" si="18"/>
        <v>"has_allowed_values":False,</v>
      </c>
      <c r="T80" t="str">
        <f t="shared" si="19"/>
        <v>"allowed_values":""</v>
      </c>
    </row>
    <row r="81" spans="1:20" ht="13" hidden="1" x14ac:dyDescent="0.15">
      <c r="A81" s="7">
        <v>88</v>
      </c>
      <c r="B81" s="6" t="s">
        <v>25</v>
      </c>
      <c r="C81" s="6" t="s">
        <v>12</v>
      </c>
      <c r="D81" s="4" t="s">
        <v>540</v>
      </c>
      <c r="E81" s="4" t="s">
        <v>540</v>
      </c>
      <c r="F81" s="4">
        <v>2</v>
      </c>
      <c r="H81" s="4" t="s">
        <v>216</v>
      </c>
      <c r="I81" s="4" t="b">
        <v>0</v>
      </c>
      <c r="K81" s="4" t="b">
        <f>IF(COUNTIF($B$2:$B81,B81)&gt;1,TRUE,FALSE)</f>
        <v>0</v>
      </c>
      <c r="L81" t="str">
        <f t="shared" si="11"/>
        <v>p.update({"link":{"dimension":{"type":"anonymous_construct_plural","subtype":"anonymous_construct_plural","indent":2,"default_value":"","docs_url":"https://looker.com/docs/r/lookml/types/dimension/link?version=7.14&amp;lookml=new","has_allowed_values":False,"allowed_values":""}}})</v>
      </c>
      <c r="M81" t="str">
        <f t="shared" si="12"/>
        <v>{"link":{"dimension":{"type":"anonymous_construct_plural","subtype":"anonymous_construct_plural","indent":2,"default_value":"","docs_url":"https://looker.com/docs/r/lookml/types/dimension/link?version=7.14&amp;lookml=new","has_allowed_values":False,"allowed_values":""}}}</v>
      </c>
      <c r="N81" t="str">
        <f t="shared" si="14"/>
        <v>"type":"anonymous_construct_plural",</v>
      </c>
      <c r="O81" t="str">
        <f t="shared" si="15"/>
        <v>"subtype":"anonymous_construct_plural",</v>
      </c>
      <c r="P81" t="str">
        <f t="shared" si="16"/>
        <v>"indent":2,</v>
      </c>
      <c r="Q81" t="str">
        <f t="shared" si="20"/>
        <v>"default_value":"",</v>
      </c>
      <c r="R81" t="str">
        <f t="shared" si="17"/>
        <v>"docs_url":"https://looker.com/docs/r/lookml/types/dimension/link?version=7.14&amp;lookml=new",</v>
      </c>
      <c r="S81" t="str">
        <f t="shared" si="18"/>
        <v>"has_allowed_values":False,</v>
      </c>
      <c r="T81" t="str">
        <f t="shared" si="19"/>
        <v>"allowed_values":""</v>
      </c>
    </row>
    <row r="82" spans="1:20" ht="13" hidden="1" x14ac:dyDescent="0.15">
      <c r="A82" s="7">
        <v>89</v>
      </c>
      <c r="B82" s="6" t="s">
        <v>27</v>
      </c>
      <c r="C82" s="6" t="s">
        <v>12</v>
      </c>
      <c r="D82" s="4" t="s">
        <v>26</v>
      </c>
      <c r="E82" s="1" t="s">
        <v>598</v>
      </c>
      <c r="F82" s="4">
        <v>2</v>
      </c>
      <c r="H82" s="4" t="s">
        <v>217</v>
      </c>
      <c r="I82" s="4" t="b">
        <v>0</v>
      </c>
      <c r="K82" s="4" t="b">
        <f>IF(COUNTIF($B$2:$B82,B82)&gt;1,TRUE,FALSE)</f>
        <v>0</v>
      </c>
      <c r="L82" t="str">
        <f t="shared" si="11"/>
        <v>p.update({"map_layer_name":{"dimension":{"type":"string_unquoted","subtype":"map-layer-ref","indent":2,"default_value":"","docs_url":"https://looker.com/docs/r/lookml/types/dimension/map_layer_name?version=7.14&amp;lookml=new","has_allowed_values":False,"allowed_values":""}}})</v>
      </c>
      <c r="M82" t="str">
        <f t="shared" si="12"/>
        <v>{"map_layer_name":{"dimension":{"type":"string_unquoted","subtype":"map-layer-ref","indent":2,"default_value":"","docs_url":"https://looker.com/docs/r/lookml/types/dimension/map_layer_name?version=7.14&amp;lookml=new","has_allowed_values":False,"allowed_values":""}}}</v>
      </c>
      <c r="N82" t="str">
        <f t="shared" si="14"/>
        <v>"type":"string_unquoted",</v>
      </c>
      <c r="O82" t="str">
        <f t="shared" si="15"/>
        <v>"subtype":"map-layer-ref",</v>
      </c>
      <c r="P82" t="str">
        <f t="shared" si="16"/>
        <v>"indent":2,</v>
      </c>
      <c r="Q82" t="str">
        <f t="shared" si="20"/>
        <v>"default_value":"",</v>
      </c>
      <c r="R82" t="str">
        <f t="shared" si="17"/>
        <v>"docs_url":"https://looker.com/docs/r/lookml/types/dimension/map_layer_name?version=7.14&amp;lookml=new",</v>
      </c>
      <c r="S82" t="str">
        <f t="shared" si="18"/>
        <v>"has_allowed_values":False,</v>
      </c>
      <c r="T82" t="str">
        <f t="shared" si="19"/>
        <v>"allowed_values":""</v>
      </c>
    </row>
    <row r="83" spans="1:20" ht="13" hidden="1" x14ac:dyDescent="0.15">
      <c r="A83" s="7">
        <v>90</v>
      </c>
      <c r="B83" s="6" t="s">
        <v>28</v>
      </c>
      <c r="C83" s="6" t="s">
        <v>12</v>
      </c>
      <c r="D83" s="4" t="s">
        <v>17</v>
      </c>
      <c r="E83" s="1" t="s">
        <v>598</v>
      </c>
      <c r="F83" s="4">
        <v>2</v>
      </c>
      <c r="H83" s="4" t="s">
        <v>218</v>
      </c>
      <c r="I83" s="4" t="b">
        <v>0</v>
      </c>
      <c r="K83" s="4" t="b">
        <f>IF(COUNTIF($B$2:$B83,B83)&gt;1,TRUE,FALSE)</f>
        <v>0</v>
      </c>
      <c r="L83" t="str">
        <f t="shared" si="11"/>
        <v>p.update({"order_by_field":{"dimension":{"type":"string_unquoted","subtype":"field-ref","indent":2,"default_value":"","docs_url":"https://looker.com/docs/r/lookml/types/dimension/order_by_field?version=7.14&amp;lookml=new","has_allowed_values":False,"allowed_values":""}}})</v>
      </c>
      <c r="M83" t="str">
        <f t="shared" si="12"/>
        <v>{"order_by_field":{"dimension":{"type":"string_unquoted","subtype":"field-ref","indent":2,"default_value":"","docs_url":"https://looker.com/docs/r/lookml/types/dimension/order_by_field?version=7.14&amp;lookml=new","has_allowed_values":False,"allowed_values":""}}}</v>
      </c>
      <c r="N83" t="str">
        <f t="shared" si="14"/>
        <v>"type":"string_unquoted",</v>
      </c>
      <c r="O83" t="str">
        <f t="shared" si="15"/>
        <v>"subtype":"field-ref",</v>
      </c>
      <c r="P83" t="str">
        <f t="shared" si="16"/>
        <v>"indent":2,</v>
      </c>
      <c r="Q83" t="str">
        <f t="shared" si="20"/>
        <v>"default_value":"",</v>
      </c>
      <c r="R83" t="str">
        <f t="shared" si="17"/>
        <v>"docs_url":"https://looker.com/docs/r/lookml/types/dimension/order_by_field?version=7.14&amp;lookml=new",</v>
      </c>
      <c r="S83" t="str">
        <f t="shared" si="18"/>
        <v>"has_allowed_values":False,</v>
      </c>
      <c r="T83" t="str">
        <f t="shared" si="19"/>
        <v>"allowed_values":""</v>
      </c>
    </row>
    <row r="84" spans="1:20" ht="13" hidden="1" x14ac:dyDescent="0.15">
      <c r="A84" s="7">
        <v>91</v>
      </c>
      <c r="B84" s="6" t="s">
        <v>30</v>
      </c>
      <c r="C84" s="6" t="s">
        <v>12</v>
      </c>
      <c r="D84" s="4" t="s">
        <v>568</v>
      </c>
      <c r="E84" s="4" t="s">
        <v>568</v>
      </c>
      <c r="F84" s="4">
        <v>2</v>
      </c>
      <c r="G84" s="4" t="s">
        <v>603</v>
      </c>
      <c r="H84" s="4" t="s">
        <v>219</v>
      </c>
      <c r="I84" s="4" t="b">
        <v>0</v>
      </c>
      <c r="K84" s="4" t="b">
        <f>IF(COUNTIF($B$2:$B84,B84)&gt;1,TRUE,FALSE)</f>
        <v>0</v>
      </c>
      <c r="L84" t="str">
        <f t="shared" si="11"/>
        <v>p.update({"primary_key":{"dimension":{"type":"yesno","subtype":"yesno","indent":2,"default_value":"no","docs_url":"https://looker.com/docs/r/lookml/types/dimension/primary_key?version=7.14&amp;lookml=new","has_allowed_values":False,"allowed_values":""}}})</v>
      </c>
      <c r="M84" t="str">
        <f t="shared" si="12"/>
        <v>{"primary_key":{"dimension":{"type":"yesno","subtype":"yesno","indent":2,"default_value":"no","docs_url":"https://looker.com/docs/r/lookml/types/dimension/primary_key?version=7.14&amp;lookml=new","has_allowed_values":False,"allowed_values":""}}}</v>
      </c>
      <c r="N84" t="str">
        <f t="shared" si="14"/>
        <v>"type":"yesno",</v>
      </c>
      <c r="O84" t="str">
        <f t="shared" si="15"/>
        <v>"subtype":"yesno",</v>
      </c>
      <c r="P84" t="str">
        <f t="shared" si="16"/>
        <v>"indent":2,</v>
      </c>
      <c r="Q84" t="str">
        <f t="shared" si="20"/>
        <v>"default_value":"no",</v>
      </c>
      <c r="R84" t="str">
        <f t="shared" si="17"/>
        <v>"docs_url":"https://looker.com/docs/r/lookml/types/dimension/primary_key?version=7.14&amp;lookml=new",</v>
      </c>
      <c r="S84" t="str">
        <f t="shared" si="18"/>
        <v>"has_allowed_values":False,</v>
      </c>
      <c r="T84" t="str">
        <f t="shared" si="19"/>
        <v>"allowed_values":""</v>
      </c>
    </row>
    <row r="85" spans="1:20" ht="13" hidden="1" x14ac:dyDescent="0.15">
      <c r="A85" s="7">
        <v>92</v>
      </c>
      <c r="B85" s="6" t="s">
        <v>32</v>
      </c>
      <c r="C85" s="6" t="s">
        <v>12</v>
      </c>
      <c r="D85" s="4" t="s">
        <v>17</v>
      </c>
      <c r="E85" s="4" t="s">
        <v>595</v>
      </c>
      <c r="F85" s="4">
        <v>2</v>
      </c>
      <c r="H85" s="4" t="s">
        <v>220</v>
      </c>
      <c r="I85" s="4" t="b">
        <v>0</v>
      </c>
      <c r="K85" s="4" t="b">
        <f>IF(COUNTIF($B$2:$B85,B85)&gt;1,TRUE,FALSE)</f>
        <v>0</v>
      </c>
      <c r="L85" t="str">
        <f t="shared" si="11"/>
        <v>p.update({"required_fields":{"dimension":{"type":"list_unquoted","subtype":"field-ref","indent":2,"default_value":"","docs_url":"https://looker.com/docs/r/lookml/types/dimension/required_fields?version=7.14&amp;lookml=new","has_allowed_values":False,"allowed_values":""}}})</v>
      </c>
      <c r="M85" t="str">
        <f t="shared" si="12"/>
        <v>{"required_fields":{"dimension":{"type":"list_unquoted","subtype":"field-ref","indent":2,"default_value":"","docs_url":"https://looker.com/docs/r/lookml/types/dimension/required_fields?version=7.14&amp;lookml=new","has_allowed_values":False,"allowed_values":""}}}</v>
      </c>
      <c r="N85" t="str">
        <f t="shared" si="14"/>
        <v>"type":"list_unquoted",</v>
      </c>
      <c r="O85" t="str">
        <f t="shared" si="15"/>
        <v>"subtype":"field-ref",</v>
      </c>
      <c r="P85" t="str">
        <f t="shared" si="16"/>
        <v>"indent":2,</v>
      </c>
      <c r="Q85" t="str">
        <f t="shared" si="20"/>
        <v>"default_value":"",</v>
      </c>
      <c r="R85" t="str">
        <f t="shared" si="17"/>
        <v>"docs_url":"https://looker.com/docs/r/lookml/types/dimension/required_fields?version=7.14&amp;lookml=new",</v>
      </c>
      <c r="S85" t="str">
        <f t="shared" si="18"/>
        <v>"has_allowed_values":False,</v>
      </c>
      <c r="T85" t="str">
        <f t="shared" si="19"/>
        <v>"allowed_values":""</v>
      </c>
    </row>
    <row r="86" spans="1:20" ht="13" hidden="1" x14ac:dyDescent="0.15">
      <c r="A86" s="7">
        <v>93</v>
      </c>
      <c r="B86" s="6" t="s">
        <v>33</v>
      </c>
      <c r="C86" s="6" t="s">
        <v>12</v>
      </c>
      <c r="D86" s="4" t="s">
        <v>568</v>
      </c>
      <c r="E86" s="4" t="s">
        <v>568</v>
      </c>
      <c r="F86" s="4">
        <v>2</v>
      </c>
      <c r="G86" s="4" t="s">
        <v>603</v>
      </c>
      <c r="H86" s="4" t="s">
        <v>221</v>
      </c>
      <c r="I86" s="4" t="b">
        <v>0</v>
      </c>
      <c r="K86" s="4" t="b">
        <f>IF(COUNTIF($B$2:$B86,B86)&gt;1,TRUE,FALSE)</f>
        <v>0</v>
      </c>
      <c r="L86" t="str">
        <f t="shared" si="11"/>
        <v>p.update({"skip_drill_filter":{"dimension":{"type":"yesno","subtype":"yesno","indent":2,"default_value":"no","docs_url":"https://looker.com/docs/r/lookml/types/dimension/skip_drill_filter?version=7.14&amp;lookml=new","has_allowed_values":False,"allowed_values":""}}})</v>
      </c>
      <c r="M86" t="str">
        <f t="shared" si="12"/>
        <v>{"skip_drill_filter":{"dimension":{"type":"yesno","subtype":"yesno","indent":2,"default_value":"no","docs_url":"https://looker.com/docs/r/lookml/types/dimension/skip_drill_filter?version=7.14&amp;lookml=new","has_allowed_values":False,"allowed_values":""}}}</v>
      </c>
      <c r="N86" t="str">
        <f t="shared" si="14"/>
        <v>"type":"yesno",</v>
      </c>
      <c r="O86" t="str">
        <f t="shared" si="15"/>
        <v>"subtype":"yesno",</v>
      </c>
      <c r="P86" t="str">
        <f t="shared" si="16"/>
        <v>"indent":2,</v>
      </c>
      <c r="Q86" t="str">
        <f t="shared" si="20"/>
        <v>"default_value":"no",</v>
      </c>
      <c r="R86" t="str">
        <f t="shared" si="17"/>
        <v>"docs_url":"https://looker.com/docs/r/lookml/types/dimension/skip_drill_filter?version=7.14&amp;lookml=new",</v>
      </c>
      <c r="S86" t="str">
        <f t="shared" si="18"/>
        <v>"has_allowed_values":False,</v>
      </c>
      <c r="T86" t="str">
        <f t="shared" si="19"/>
        <v>"allowed_values":""</v>
      </c>
    </row>
    <row r="87" spans="1:20" ht="13" hidden="1" x14ac:dyDescent="0.15">
      <c r="A87" s="7">
        <v>94</v>
      </c>
      <c r="B87" s="6" t="s">
        <v>39</v>
      </c>
      <c r="C87" s="6" t="s">
        <v>12</v>
      </c>
      <c r="D87" s="4" t="s">
        <v>17</v>
      </c>
      <c r="E87" s="1" t="s">
        <v>598</v>
      </c>
      <c r="F87" s="4">
        <v>2</v>
      </c>
      <c r="H87" s="4" t="s">
        <v>222</v>
      </c>
      <c r="I87" s="4" t="b">
        <v>0</v>
      </c>
      <c r="K87" s="4" t="b">
        <f>IF(COUNTIF($B$2:$B87,B87)&gt;1,TRUE,FALSE)</f>
        <v>0</v>
      </c>
      <c r="L87" t="str">
        <f t="shared" si="11"/>
        <v>p.update({"start_location_field":{"dimension":{"type":"string_unquoted","subtype":"field-ref","indent":2,"default_value":"","docs_url":"https://looker.com/docs/r/lookml/types/dimension/start_location_field?version=7.14&amp;lookml=new","has_allowed_values":False,"allowed_values":""}}})</v>
      </c>
      <c r="M87" t="str">
        <f t="shared" si="12"/>
        <v>{"start_location_field":{"dimension":{"type":"string_unquoted","subtype":"field-ref","indent":2,"default_value":"","docs_url":"https://looker.com/docs/r/lookml/types/dimension/start_location_field?version=7.14&amp;lookml=new","has_allowed_values":False,"allowed_values":""}}}</v>
      </c>
      <c r="N87" t="str">
        <f t="shared" si="14"/>
        <v>"type":"string_unquoted",</v>
      </c>
      <c r="O87" t="str">
        <f t="shared" si="15"/>
        <v>"subtype":"field-ref",</v>
      </c>
      <c r="P87" t="str">
        <f t="shared" si="16"/>
        <v>"indent":2,</v>
      </c>
      <c r="Q87" t="str">
        <f t="shared" si="20"/>
        <v>"default_value":"",</v>
      </c>
      <c r="R87" t="str">
        <f t="shared" si="17"/>
        <v>"docs_url":"https://looker.com/docs/r/lookml/types/dimension/start_location_field?version=7.14&amp;lookml=new",</v>
      </c>
      <c r="S87" t="str">
        <f t="shared" si="18"/>
        <v>"has_allowed_values":False,</v>
      </c>
      <c r="T87" t="str">
        <f t="shared" si="19"/>
        <v>"allowed_values":""</v>
      </c>
    </row>
    <row r="88" spans="1:20" ht="13" hidden="1" x14ac:dyDescent="0.15">
      <c r="A88" s="7">
        <v>95</v>
      </c>
      <c r="B88" s="6" t="s">
        <v>46</v>
      </c>
      <c r="C88" s="6" t="s">
        <v>12</v>
      </c>
      <c r="D88" s="4" t="s">
        <v>597</v>
      </c>
      <c r="E88" s="4" t="s">
        <v>597</v>
      </c>
      <c r="F88" s="4">
        <v>2</v>
      </c>
      <c r="H88" s="4" t="s">
        <v>223</v>
      </c>
      <c r="I88" s="4" t="b">
        <v>0</v>
      </c>
      <c r="K88" s="4" t="b">
        <f>IF(COUNTIF($B$2:$B88,B88)&gt;1,TRUE,FALSE)</f>
        <v>1</v>
      </c>
      <c r="L88" t="str">
        <f t="shared" si="11"/>
        <v>p["suggestions"].update({"dimension":{"type":"list_quoted","subtype":"list_quoted","indent":2,"default_value":"","docs_url":"https://looker.com/docs/r/lookml/types/dimension/suggestions?version=7.14&amp;lookml=new","has_allowed_values":False,"allowed_values":""}})</v>
      </c>
      <c r="M88" t="str">
        <f t="shared" si="12"/>
        <v>{"suggestions":{"dimension":{"type":"list_quoted","subtype":"list_quoted","indent":2,"default_value":"","docs_url":"https://looker.com/docs/r/lookml/types/dimension/suggestions?version=7.14&amp;lookml=new","has_allowed_values":False,"allowed_values":""}}}</v>
      </c>
      <c r="N88" t="str">
        <f t="shared" si="14"/>
        <v>"type":"list_quoted",</v>
      </c>
      <c r="O88" t="str">
        <f t="shared" si="15"/>
        <v>"subtype":"list_quoted",</v>
      </c>
      <c r="P88" t="str">
        <f t="shared" si="16"/>
        <v>"indent":2,</v>
      </c>
      <c r="Q88" t="str">
        <f t="shared" si="20"/>
        <v>"default_value":"",</v>
      </c>
      <c r="R88" t="str">
        <f t="shared" si="17"/>
        <v>"docs_url":"https://looker.com/docs/r/lookml/types/dimension/suggestions?version=7.14&amp;lookml=new",</v>
      </c>
      <c r="S88" t="str">
        <f t="shared" si="18"/>
        <v>"has_allowed_values":False,</v>
      </c>
      <c r="T88" t="str">
        <f t="shared" si="19"/>
        <v>"allowed_values":""</v>
      </c>
    </row>
    <row r="89" spans="1:20" ht="13" hidden="1" x14ac:dyDescent="0.15">
      <c r="A89" s="7">
        <v>96</v>
      </c>
      <c r="B89" s="6" t="s">
        <v>44</v>
      </c>
      <c r="C89" s="6" t="s">
        <v>12</v>
      </c>
      <c r="D89" s="4" t="s">
        <v>0</v>
      </c>
      <c r="E89" s="4" t="s">
        <v>0</v>
      </c>
      <c r="F89" s="4">
        <v>2</v>
      </c>
      <c r="G89" s="4" t="s">
        <v>591</v>
      </c>
      <c r="H89" s="4" t="s">
        <v>224</v>
      </c>
      <c r="I89" s="4" t="b">
        <v>0</v>
      </c>
      <c r="K89" s="4" t="b">
        <f>IF(COUNTIF($B$2:$B89,B89)&gt;1,TRUE,FALSE)</f>
        <v>0</v>
      </c>
      <c r="L89" t="str">
        <f t="shared" si="11"/>
        <v>p.update({"suggest_persist_for":{"dimension":{"type":"string","subtype":"string","indent":2,"default_value":"","docs_url":"https://looker.com/docs/r/lookml/types/dimension/suggest_persist_for?version=7.14&amp;lookml=new","has_allowed_values":False,"allowed_values":""}}})</v>
      </c>
      <c r="M89" t="str">
        <f t="shared" si="12"/>
        <v>{"suggest_persist_for":{"dimension":{"type":"string","subtype":"string","indent":2,"default_value":"","docs_url":"https://looker.com/docs/r/lookml/types/dimension/suggest_persist_for?version=7.14&amp;lookml=new","has_allowed_values":False,"allowed_values":""}}}</v>
      </c>
      <c r="N89" t="str">
        <f t="shared" si="14"/>
        <v>"type":"string",</v>
      </c>
      <c r="O89" t="str">
        <f t="shared" si="15"/>
        <v>"subtype":"string",</v>
      </c>
      <c r="P89" t="str">
        <f t="shared" si="16"/>
        <v>"indent":2,</v>
      </c>
      <c r="Q89" t="str">
        <f t="shared" si="20"/>
        <v>"default_value":"",</v>
      </c>
      <c r="R89" t="str">
        <f t="shared" si="17"/>
        <v>"docs_url":"https://looker.com/docs/r/lookml/types/dimension/suggest_persist_for?version=7.14&amp;lookml=new",</v>
      </c>
      <c r="S89" t="str">
        <f t="shared" si="18"/>
        <v>"has_allowed_values":False,</v>
      </c>
      <c r="T89" t="str">
        <f t="shared" si="19"/>
        <v>"allowed_values":""</v>
      </c>
    </row>
    <row r="90" spans="1:20" ht="13" hidden="1" x14ac:dyDescent="0.15">
      <c r="A90" s="7">
        <v>97</v>
      </c>
      <c r="B90" s="6" t="s">
        <v>41</v>
      </c>
      <c r="C90" s="6" t="s">
        <v>12</v>
      </c>
      <c r="D90" s="4" t="s">
        <v>550</v>
      </c>
      <c r="E90" s="4" t="s">
        <v>550</v>
      </c>
      <c r="F90" s="4">
        <v>2</v>
      </c>
      <c r="G90" s="4" t="s">
        <v>576</v>
      </c>
      <c r="H90" s="4" t="s">
        <v>225</v>
      </c>
      <c r="I90" s="4" t="b">
        <v>1</v>
      </c>
      <c r="J90" s="4" t="s">
        <v>577</v>
      </c>
      <c r="K90" s="4" t="b">
        <f>IF(COUNTIF($B$2:$B90,B90)&gt;1,TRUE,FALSE)</f>
        <v>0</v>
      </c>
      <c r="L90" t="str">
        <f t="shared" si="11"/>
        <v>p.update({"style":{"dimension":{"type":"options","subtype":"options","indent":2,"default_value":"classic","docs_url":"https://looker.com/docs/r/lookml/types/dimension/style?version=7.14&amp;lookml=new","has_allowed_values":True,"allowed_values":["classic","interval","integer","relational"]}}})</v>
      </c>
      <c r="M90" t="str">
        <f t="shared" si="12"/>
        <v>{"style":{"dimension":{"type":"options","subtype":"options","indent":2,"default_value":"classic","docs_url":"https://looker.com/docs/r/lookml/types/dimension/style?version=7.14&amp;lookml=new","has_allowed_values":True,"allowed_values":["classic","interval","integer","relational"]}}}</v>
      </c>
      <c r="N90" t="str">
        <f t="shared" si="14"/>
        <v>"type":"options",</v>
      </c>
      <c r="O90" t="str">
        <f t="shared" si="15"/>
        <v>"subtype":"options",</v>
      </c>
      <c r="P90" t="str">
        <f t="shared" si="16"/>
        <v>"indent":2,</v>
      </c>
      <c r="Q90" t="str">
        <f t="shared" si="20"/>
        <v>"default_value":"classic",</v>
      </c>
      <c r="R90" t="str">
        <f t="shared" si="17"/>
        <v>"docs_url":"https://looker.com/docs/r/lookml/types/dimension/style?version=7.14&amp;lookml=new",</v>
      </c>
      <c r="S90" t="str">
        <f t="shared" si="18"/>
        <v>"has_allowed_values":True,</v>
      </c>
      <c r="T90" t="str">
        <f t="shared" si="19"/>
        <v>"allowed_values":["classic","interval","integer","relational"]</v>
      </c>
    </row>
    <row r="91" spans="1:20" ht="13" hidden="1" x14ac:dyDescent="0.15">
      <c r="A91" s="7">
        <v>98</v>
      </c>
      <c r="B91" s="6" t="s">
        <v>34</v>
      </c>
      <c r="C91" s="6" t="s">
        <v>12</v>
      </c>
      <c r="D91" s="4" t="s">
        <v>611</v>
      </c>
      <c r="E91" s="4" t="s">
        <v>34</v>
      </c>
      <c r="F91" s="4">
        <v>2</v>
      </c>
      <c r="G91" s="4" t="s">
        <v>591</v>
      </c>
      <c r="H91" s="4" t="s">
        <v>226</v>
      </c>
      <c r="I91" s="4" t="b">
        <v>0</v>
      </c>
      <c r="K91" s="4" t="b">
        <f>IF(COUNTIF($B$2:$B91,B91)&gt;1,TRUE,FALSE)</f>
        <v>0</v>
      </c>
      <c r="L91" t="str">
        <f t="shared" si="11"/>
        <v>p.update({"sql":{"dimension":{"type":"sql","subtype":"sql-block ","indent":2,"default_value":"","docs_url":"https://looker.com/docs/r/lookml/types/dimension/sql?version=7.14&amp;lookml=new","has_allowed_values":False,"allowed_values":""}}})</v>
      </c>
      <c r="M91" t="str">
        <f t="shared" si="12"/>
        <v>{"sql":{"dimension":{"type":"sql","subtype":"sql-block ","indent":2,"default_value":"","docs_url":"https://looker.com/docs/r/lookml/types/dimension/sql?version=7.14&amp;lookml=new","has_allowed_values":False,"allowed_values":""}}}</v>
      </c>
      <c r="N91" t="str">
        <f t="shared" si="14"/>
        <v>"type":"sql",</v>
      </c>
      <c r="O91" t="str">
        <f t="shared" si="15"/>
        <v>"subtype":"sql-block ",</v>
      </c>
      <c r="P91" t="str">
        <f t="shared" si="16"/>
        <v>"indent":2,</v>
      </c>
      <c r="Q91" t="str">
        <f t="shared" si="20"/>
        <v>"default_value":"",</v>
      </c>
      <c r="R91" t="str">
        <f t="shared" si="17"/>
        <v>"docs_url":"https://looker.com/docs/r/lookml/types/dimension/sql?version=7.14&amp;lookml=new",</v>
      </c>
      <c r="S91" t="str">
        <f t="shared" si="18"/>
        <v>"has_allowed_values":False,</v>
      </c>
      <c r="T91" t="str">
        <f t="shared" si="19"/>
        <v>"allowed_values":""</v>
      </c>
    </row>
    <row r="92" spans="1:20" ht="13" hidden="1" x14ac:dyDescent="0.15">
      <c r="A92" s="7">
        <v>99</v>
      </c>
      <c r="B92" s="6" t="s">
        <v>35</v>
      </c>
      <c r="C92" s="6" t="s">
        <v>12</v>
      </c>
      <c r="D92" s="4" t="s">
        <v>611</v>
      </c>
      <c r="E92" s="4" t="s">
        <v>34</v>
      </c>
      <c r="F92" s="4">
        <v>2</v>
      </c>
      <c r="G92" s="4" t="s">
        <v>591</v>
      </c>
      <c r="H92" s="4" t="s">
        <v>227</v>
      </c>
      <c r="I92" s="4" t="b">
        <v>0</v>
      </c>
      <c r="K92" s="4" t="b">
        <f>IF(COUNTIF($B$2:$B92,B92)&gt;1,TRUE,FALSE)</f>
        <v>0</v>
      </c>
      <c r="L92" t="str">
        <f t="shared" si="11"/>
        <v>p.update({"sql_end":{"dimension":{"type":"sql","subtype":"sql-block ","indent":2,"default_value":"","docs_url":"https://looker.com/docs/r/lookml/types/dimension/sql_end?version=7.14&amp;lookml=new","has_allowed_values":False,"allowed_values":""}}})</v>
      </c>
      <c r="M92" t="str">
        <f t="shared" si="12"/>
        <v>{"sql_end":{"dimension":{"type":"sql","subtype":"sql-block ","indent":2,"default_value":"","docs_url":"https://looker.com/docs/r/lookml/types/dimension/sql_end?version=7.14&amp;lookml=new","has_allowed_values":False,"allowed_values":""}}}</v>
      </c>
      <c r="N92" t="str">
        <f t="shared" si="14"/>
        <v>"type":"sql",</v>
      </c>
      <c r="O92" t="str">
        <f t="shared" si="15"/>
        <v>"subtype":"sql-block ",</v>
      </c>
      <c r="P92" t="str">
        <f t="shared" si="16"/>
        <v>"indent":2,</v>
      </c>
      <c r="Q92" t="str">
        <f t="shared" si="20"/>
        <v>"default_value":"",</v>
      </c>
      <c r="R92" t="str">
        <f t="shared" si="17"/>
        <v>"docs_url":"https://looker.com/docs/r/lookml/types/dimension/sql_end?version=7.14&amp;lookml=new",</v>
      </c>
      <c r="S92" t="str">
        <f t="shared" si="18"/>
        <v>"has_allowed_values":False,</v>
      </c>
      <c r="T92" t="str">
        <f t="shared" si="19"/>
        <v>"allowed_values":""</v>
      </c>
    </row>
    <row r="93" spans="1:20" ht="13" hidden="1" x14ac:dyDescent="0.15">
      <c r="A93" s="7">
        <v>100</v>
      </c>
      <c r="B93" s="6" t="s">
        <v>38</v>
      </c>
      <c r="C93" s="6" t="s">
        <v>12</v>
      </c>
      <c r="D93" s="4" t="s">
        <v>611</v>
      </c>
      <c r="E93" s="4" t="s">
        <v>34</v>
      </c>
      <c r="F93" s="4">
        <v>2</v>
      </c>
      <c r="G93" s="4" t="s">
        <v>591</v>
      </c>
      <c r="H93" s="4" t="s">
        <v>228</v>
      </c>
      <c r="I93" s="4" t="b">
        <v>0</v>
      </c>
      <c r="K93" s="4" t="b">
        <f>IF(COUNTIF($B$2:$B93,B93)&gt;1,TRUE,FALSE)</f>
        <v>0</v>
      </c>
      <c r="L93" t="str">
        <f t="shared" si="11"/>
        <v>p.update({"sql_start":{"dimension":{"type":"sql","subtype":"sql-block ","indent":2,"default_value":"","docs_url":"https://looker.com/docs/r/lookml/types/dimension/sql_start?version=7.14&amp;lookml=new","has_allowed_values":False,"allowed_values":""}}})</v>
      </c>
      <c r="M93" t="str">
        <f t="shared" si="12"/>
        <v>{"sql_start":{"dimension":{"type":"sql","subtype":"sql-block ","indent":2,"default_value":"","docs_url":"https://looker.com/docs/r/lookml/types/dimension/sql_start?version=7.14&amp;lookml=new","has_allowed_values":False,"allowed_values":""}}}</v>
      </c>
      <c r="N93" t="str">
        <f t="shared" si="14"/>
        <v>"type":"sql",</v>
      </c>
      <c r="O93" t="str">
        <f t="shared" si="15"/>
        <v>"subtype":"sql-block ",</v>
      </c>
      <c r="P93" t="str">
        <f t="shared" si="16"/>
        <v>"indent":2,</v>
      </c>
      <c r="Q93" t="str">
        <f t="shared" si="20"/>
        <v>"default_value":"",</v>
      </c>
      <c r="R93" t="str">
        <f t="shared" si="17"/>
        <v>"docs_url":"https://looker.com/docs/r/lookml/types/dimension/sql_start?version=7.14&amp;lookml=new",</v>
      </c>
      <c r="S93" t="str">
        <f t="shared" si="18"/>
        <v>"has_allowed_values":False,</v>
      </c>
      <c r="T93" t="str">
        <f t="shared" si="19"/>
        <v>"allowed_values":""</v>
      </c>
    </row>
    <row r="94" spans="1:20" ht="13" hidden="1" x14ac:dyDescent="0.15">
      <c r="A94" s="7">
        <v>101</v>
      </c>
      <c r="B94" s="6" t="s">
        <v>48</v>
      </c>
      <c r="C94" s="6" t="s">
        <v>12</v>
      </c>
      <c r="D94" s="4" t="s">
        <v>62</v>
      </c>
      <c r="E94" s="4" t="s">
        <v>595</v>
      </c>
      <c r="F94" s="4">
        <v>2</v>
      </c>
      <c r="G94" s="4" t="s">
        <v>594</v>
      </c>
      <c r="H94" s="4" t="s">
        <v>229</v>
      </c>
      <c r="I94" s="4" t="b">
        <v>0</v>
      </c>
      <c r="K94" s="4" t="b">
        <f>IF(COUNTIF($B$2:$B94,B94)&gt;1,TRUE,FALSE)</f>
        <v>0</v>
      </c>
      <c r="L94" t="str">
        <f t="shared" si="11"/>
        <v>p.update({"tiers":{"dimension":{"type":"list_unquoted","subtype":"number","indent":2,"default_value":[],"docs_url":"https://looker.com/docs/r/lookml/types/dimension/tiers?version=7.14&amp;lookml=new","has_allowed_values":False,"allowed_values":""}}})</v>
      </c>
      <c r="M94" t="str">
        <f t="shared" si="12"/>
        <v>{"tiers":{"dimension":{"type":"list_unquoted","subtype":"number","indent":2,"default_value":[],"docs_url":"https://looker.com/docs/r/lookml/types/dimension/tiers?version=7.14&amp;lookml=new","has_allowed_values":False,"allowed_values":""}}}</v>
      </c>
      <c r="N94" t="str">
        <f t="shared" si="14"/>
        <v>"type":"list_unquoted",</v>
      </c>
      <c r="O94" t="str">
        <f t="shared" si="15"/>
        <v>"subtype":"number",</v>
      </c>
      <c r="P94" t="str">
        <f t="shared" si="16"/>
        <v>"indent":2,</v>
      </c>
      <c r="Q94" t="str">
        <f t="shared" si="20"/>
        <v>"default_value":[],</v>
      </c>
      <c r="R94" t="str">
        <f t="shared" si="17"/>
        <v>"docs_url":"https://looker.com/docs/r/lookml/types/dimension/tiers?version=7.14&amp;lookml=new",</v>
      </c>
      <c r="S94" t="str">
        <f t="shared" si="18"/>
        <v>"has_allowed_values":False,</v>
      </c>
      <c r="T94" t="str">
        <f t="shared" si="19"/>
        <v>"allowed_values":""</v>
      </c>
    </row>
    <row r="95" spans="1:20" ht="13" hidden="1" x14ac:dyDescent="0.15">
      <c r="A95" s="7">
        <v>102</v>
      </c>
      <c r="B95" s="6" t="s">
        <v>37</v>
      </c>
      <c r="C95" s="6" t="s">
        <v>12</v>
      </c>
      <c r="D95" s="4" t="s">
        <v>611</v>
      </c>
      <c r="E95" s="4" t="s">
        <v>34</v>
      </c>
      <c r="F95" s="4">
        <v>2</v>
      </c>
      <c r="G95" s="4" t="s">
        <v>591</v>
      </c>
      <c r="H95" s="4" t="s">
        <v>230</v>
      </c>
      <c r="I95" s="4" t="b">
        <v>0</v>
      </c>
      <c r="K95" s="4" t="b">
        <f>IF(COUNTIF($B$2:$B95,B95)&gt;1,TRUE,FALSE)</f>
        <v>0</v>
      </c>
      <c r="L95" t="str">
        <f t="shared" si="11"/>
        <v>p.update({"sql_longitude":{"dimension":{"type":"sql","subtype":"sql-block ","indent":2,"default_value":"","docs_url":"https://looker.com/docs/r/lookml/types/dimension/sql_longitude?version=7.14&amp;lookml=new","has_allowed_values":False,"allowed_values":""}}})</v>
      </c>
      <c r="M95" t="str">
        <f t="shared" si="12"/>
        <v>{"sql_longitude":{"dimension":{"type":"sql","subtype":"sql-block ","indent":2,"default_value":"","docs_url":"https://looker.com/docs/r/lookml/types/dimension/sql_longitude?version=7.14&amp;lookml=new","has_allowed_values":False,"allowed_values":""}}}</v>
      </c>
      <c r="N95" t="str">
        <f t="shared" si="14"/>
        <v>"type":"sql",</v>
      </c>
      <c r="O95" t="str">
        <f t="shared" si="15"/>
        <v>"subtype":"sql-block ",</v>
      </c>
      <c r="P95" t="str">
        <f t="shared" si="16"/>
        <v>"indent":2,</v>
      </c>
      <c r="Q95" t="str">
        <f t="shared" si="20"/>
        <v>"default_value":"",</v>
      </c>
      <c r="R95" t="str">
        <f t="shared" si="17"/>
        <v>"docs_url":"https://looker.com/docs/r/lookml/types/dimension/sql_longitude?version=7.14&amp;lookml=new",</v>
      </c>
      <c r="S95" t="str">
        <f t="shared" si="18"/>
        <v>"has_allowed_values":False,</v>
      </c>
      <c r="T95" t="str">
        <f t="shared" si="19"/>
        <v>"allowed_values":""</v>
      </c>
    </row>
    <row r="96" spans="1:20" ht="13" hidden="1" x14ac:dyDescent="0.15">
      <c r="A96" s="7">
        <v>103</v>
      </c>
      <c r="B96" s="6" t="s">
        <v>36</v>
      </c>
      <c r="C96" s="6" t="s">
        <v>12</v>
      </c>
      <c r="D96" s="4" t="s">
        <v>611</v>
      </c>
      <c r="E96" s="4" t="s">
        <v>34</v>
      </c>
      <c r="F96" s="4">
        <v>2</v>
      </c>
      <c r="G96" s="4" t="s">
        <v>591</v>
      </c>
      <c r="H96" s="4" t="s">
        <v>231</v>
      </c>
      <c r="I96" s="4" t="b">
        <v>0</v>
      </c>
      <c r="K96" s="4" t="b">
        <f>IF(COUNTIF($B$2:$B96,B96)&gt;1,TRUE,FALSE)</f>
        <v>0</v>
      </c>
      <c r="L96" t="str">
        <f t="shared" si="11"/>
        <v>p.update({"sql_latitude":{"dimension":{"type":"sql","subtype":"sql-block ","indent":2,"default_value":"","docs_url":"https://looker.com/docs/r/lookml/types/dimension/sql_latitude?version=7.14&amp;lookml=new","has_allowed_values":False,"allowed_values":""}}})</v>
      </c>
      <c r="M96" t="str">
        <f t="shared" si="12"/>
        <v>{"sql_latitude":{"dimension":{"type":"sql","subtype":"sql-block ","indent":2,"default_value":"","docs_url":"https://looker.com/docs/r/lookml/types/dimension/sql_latitude?version=7.14&amp;lookml=new","has_allowed_values":False,"allowed_values":""}}}</v>
      </c>
      <c r="N96" t="str">
        <f t="shared" si="14"/>
        <v>"type":"sql",</v>
      </c>
      <c r="O96" t="str">
        <f t="shared" si="15"/>
        <v>"subtype":"sql-block ",</v>
      </c>
      <c r="P96" t="str">
        <f t="shared" si="16"/>
        <v>"indent":2,</v>
      </c>
      <c r="Q96" t="str">
        <f t="shared" si="20"/>
        <v>"default_value":"",</v>
      </c>
      <c r="R96" t="str">
        <f t="shared" si="17"/>
        <v>"docs_url":"https://looker.com/docs/r/lookml/types/dimension/sql_latitude?version=7.14&amp;lookml=new",</v>
      </c>
      <c r="S96" t="str">
        <f t="shared" si="18"/>
        <v>"has_allowed_values":False,</v>
      </c>
      <c r="T96" t="str">
        <f t="shared" si="19"/>
        <v>"allowed_values":""</v>
      </c>
    </row>
    <row r="97" spans="1:20" ht="13" hidden="1" x14ac:dyDescent="0.15">
      <c r="A97" s="7">
        <v>104</v>
      </c>
      <c r="B97" s="6" t="s">
        <v>40</v>
      </c>
      <c r="C97" s="6" t="s">
        <v>12</v>
      </c>
      <c r="D97" s="4" t="s">
        <v>550</v>
      </c>
      <c r="E97" s="4" t="s">
        <v>550</v>
      </c>
      <c r="F97" s="4">
        <v>2</v>
      </c>
      <c r="G97" s="4" t="s">
        <v>578</v>
      </c>
      <c r="H97" s="4" t="s">
        <v>232</v>
      </c>
      <c r="I97" s="4" t="b">
        <v>1</v>
      </c>
      <c r="J97" s="4" t="s">
        <v>579</v>
      </c>
      <c r="K97" s="4" t="b">
        <f>IF(COUNTIF($B$2:$B97,B97)&gt;1,TRUE,FALSE)</f>
        <v>0</v>
      </c>
      <c r="L97" t="str">
        <f t="shared" si="11"/>
        <v>p.update({"string_datatype":{"dimension":{"type":"options","subtype":"options","indent":2,"default_value":"unicode","docs_url":"https://looker.com/docs/r/lookml/types/dimension/string_datatype?version=7.14&amp;lookml=new","has_allowed_values":True,"allowed_values":["unicode"]}}})</v>
      </c>
      <c r="M97" t="str">
        <f t="shared" si="12"/>
        <v>{"string_datatype":{"dimension":{"type":"options","subtype":"options","indent":2,"default_value":"unicode","docs_url":"https://looker.com/docs/r/lookml/types/dimension/string_datatype?version=7.14&amp;lookml=new","has_allowed_values":True,"allowed_values":["unicode"]}}}</v>
      </c>
      <c r="N97" t="str">
        <f t="shared" si="14"/>
        <v>"type":"options",</v>
      </c>
      <c r="O97" t="str">
        <f t="shared" si="15"/>
        <v>"subtype":"options",</v>
      </c>
      <c r="P97" t="str">
        <f t="shared" si="16"/>
        <v>"indent":2,</v>
      </c>
      <c r="Q97" t="str">
        <f t="shared" si="20"/>
        <v>"default_value":"unicode",</v>
      </c>
      <c r="R97" t="str">
        <f t="shared" si="17"/>
        <v>"docs_url":"https://looker.com/docs/r/lookml/types/dimension/string_datatype?version=7.14&amp;lookml=new",</v>
      </c>
      <c r="S97" t="str">
        <f t="shared" si="18"/>
        <v>"has_allowed_values":True,</v>
      </c>
      <c r="T97" t="str">
        <f t="shared" si="19"/>
        <v>"allowed_values":["unicode"]</v>
      </c>
    </row>
    <row r="98" spans="1:20" ht="25" hidden="1" customHeight="1" x14ac:dyDescent="0.15">
      <c r="A98" s="7">
        <v>105</v>
      </c>
      <c r="B98" s="6" t="s">
        <v>50</v>
      </c>
      <c r="C98" s="6" t="s">
        <v>12</v>
      </c>
      <c r="D98" s="4" t="s">
        <v>550</v>
      </c>
      <c r="E98" s="4" t="s">
        <v>550</v>
      </c>
      <c r="F98" s="4">
        <v>2</v>
      </c>
      <c r="G98" s="4" t="s">
        <v>580</v>
      </c>
      <c r="H98" s="4" t="s">
        <v>233</v>
      </c>
      <c r="I98" s="4" t="b">
        <v>1</v>
      </c>
      <c r="J98" s="8" t="s">
        <v>581</v>
      </c>
      <c r="K98" s="4" t="b">
        <f>IF(COUNTIF($B$2:$B98,B98)&gt;1,TRUE,FALSE)</f>
        <v>0</v>
      </c>
      <c r="L98" t="str">
        <f t="shared" si="11"/>
        <v>p.update({"units":{"dimension":{"type":"options","subtype":"options","indent":2,"default_value":"kilometers","docs_url":"https://looker.com/docs/r/lookml/types/dimension/units?version=7.14&amp;lookml=new","has_allowed_values":True,"allowed_values":["feet","kilometers","meters","miles","nautical_miles","yards"]}}})</v>
      </c>
      <c r="M98" t="str">
        <f t="shared" si="12"/>
        <v>{"units":{"dimension":{"type":"options","subtype":"options","indent":2,"default_value":"kilometers","docs_url":"https://looker.com/docs/r/lookml/types/dimension/units?version=7.14&amp;lookml=new","has_allowed_values":True,"allowed_values":["feet","kilometers","meters","miles","nautical_miles","yards"]}}}</v>
      </c>
      <c r="N98" t="str">
        <f t="shared" si="14"/>
        <v>"type":"options",</v>
      </c>
      <c r="O98" t="str">
        <f t="shared" si="15"/>
        <v>"subtype":"options",</v>
      </c>
      <c r="P98" t="str">
        <f t="shared" si="16"/>
        <v>"indent":2,</v>
      </c>
      <c r="Q98" t="str">
        <f t="shared" si="20"/>
        <v>"default_value":"kilometers",</v>
      </c>
      <c r="R98" t="str">
        <f t="shared" si="17"/>
        <v>"docs_url":"https://looker.com/docs/r/lookml/types/dimension/units?version=7.14&amp;lookml=new",</v>
      </c>
      <c r="S98" t="str">
        <f t="shared" si="18"/>
        <v>"has_allowed_values":True,</v>
      </c>
      <c r="T98" t="str">
        <f t="shared" si="19"/>
        <v>"allowed_values":["feet","kilometers","meters","miles","nautical_miles","yards"]</v>
      </c>
    </row>
    <row r="99" spans="1:20" ht="13" hidden="1" x14ac:dyDescent="0.15">
      <c r="A99" s="7">
        <v>106</v>
      </c>
      <c r="B99" s="6" t="s">
        <v>52</v>
      </c>
      <c r="C99" s="6" t="s">
        <v>12</v>
      </c>
      <c r="D99" s="4" t="s">
        <v>0</v>
      </c>
      <c r="E99" s="4" t="s">
        <v>0</v>
      </c>
      <c r="F99" s="4">
        <v>2</v>
      </c>
      <c r="G99" s="4" t="s">
        <v>591</v>
      </c>
      <c r="H99" s="4" t="s">
        <v>234</v>
      </c>
      <c r="I99" s="4" t="b">
        <v>0</v>
      </c>
      <c r="K99" s="4" t="b">
        <f>IF(COUNTIF($B$2:$B99,B99)&gt;1,TRUE,FALSE)</f>
        <v>0</v>
      </c>
      <c r="L99" t="str">
        <f t="shared" si="11"/>
        <v>p.update({"value_format":{"dimension":{"type":"string","subtype":"string","indent":2,"default_value":"","docs_url":"https://looker.com/docs/r/lookml/types/dimension/value_format?version=7.14&amp;lookml=new","has_allowed_values":False,"allowed_values":""}}})</v>
      </c>
      <c r="M99" t="str">
        <f t="shared" si="12"/>
        <v>{"value_format":{"dimension":{"type":"string","subtype":"string","indent":2,"default_value":"","docs_url":"https://looker.com/docs/r/lookml/types/dimension/value_format?version=7.14&amp;lookml=new","has_allowed_values":False,"allowed_values":""}}}</v>
      </c>
      <c r="N99" t="str">
        <f t="shared" si="14"/>
        <v>"type":"string",</v>
      </c>
      <c r="O99" t="str">
        <f t="shared" si="15"/>
        <v>"subtype":"string",</v>
      </c>
      <c r="P99" t="str">
        <f t="shared" si="16"/>
        <v>"indent":2,</v>
      </c>
      <c r="Q99" t="str">
        <f t="shared" si="20"/>
        <v>"default_value":"",</v>
      </c>
      <c r="R99" t="str">
        <f t="shared" si="17"/>
        <v>"docs_url":"https://looker.com/docs/r/lookml/types/dimension/value_format?version=7.14&amp;lookml=new",</v>
      </c>
      <c r="S99" t="str">
        <f t="shared" si="18"/>
        <v>"has_allowed_values":False,</v>
      </c>
      <c r="T99" t="str">
        <f t="shared" si="19"/>
        <v>"allowed_values":""</v>
      </c>
    </row>
    <row r="100" spans="1:20" ht="13" hidden="1" x14ac:dyDescent="0.15">
      <c r="A100" s="7">
        <v>107</v>
      </c>
      <c r="B100" s="6" t="s">
        <v>53</v>
      </c>
      <c r="C100" s="6" t="s">
        <v>12</v>
      </c>
      <c r="D100" s="4" t="s">
        <v>51</v>
      </c>
      <c r="E100" s="1" t="s">
        <v>598</v>
      </c>
      <c r="F100" s="4">
        <v>2</v>
      </c>
      <c r="G100" s="4" t="s">
        <v>599</v>
      </c>
      <c r="H100" s="4" t="s">
        <v>235</v>
      </c>
      <c r="I100" s="4" t="b">
        <v>0</v>
      </c>
      <c r="K100" s="4" t="b">
        <f>IF(COUNTIF($B$2:$B100,B100)&gt;1,TRUE,FALSE)</f>
        <v>0</v>
      </c>
      <c r="L100" t="str">
        <f t="shared" si="11"/>
        <v>p.update({"value_format_name":{"dimension":{"type":"string_unquoted","subtype":"value-format-ref","indent":2,"default_value":"decimal_0","docs_url":"https://looker.com/docs/r/lookml/types/dimension/value_format_name?version=7.14&amp;lookml=new","has_allowed_values":False,"allowed_values":""}}})</v>
      </c>
      <c r="M100" t="str">
        <f t="shared" si="12"/>
        <v>{"value_format_name":{"dimension":{"type":"string_unquoted","subtype":"value-format-ref","indent":2,"default_value":"decimal_0","docs_url":"https://looker.com/docs/r/lookml/types/dimension/value_format_name?version=7.14&amp;lookml=new","has_allowed_values":False,"allowed_values":""}}}</v>
      </c>
      <c r="N100" t="str">
        <f t="shared" si="14"/>
        <v>"type":"string_unquoted",</v>
      </c>
      <c r="O100" t="str">
        <f t="shared" si="15"/>
        <v>"subtype":"value-format-ref",</v>
      </c>
      <c r="P100" t="str">
        <f t="shared" si="16"/>
        <v>"indent":2,</v>
      </c>
      <c r="Q100" t="str">
        <f t="shared" si="20"/>
        <v>"default_value":"decimal_0",</v>
      </c>
      <c r="R100" t="str">
        <f t="shared" si="17"/>
        <v>"docs_url":"https://looker.com/docs/r/lookml/types/dimension/value_format_name?version=7.14&amp;lookml=new",</v>
      </c>
      <c r="S100" t="str">
        <f t="shared" si="18"/>
        <v>"has_allowed_values":False,</v>
      </c>
      <c r="T100" t="str">
        <f t="shared" si="19"/>
        <v>"allowed_values":""</v>
      </c>
    </row>
    <row r="101" spans="1:20" ht="13" hidden="1" x14ac:dyDescent="0.15">
      <c r="A101" s="7">
        <v>108</v>
      </c>
      <c r="B101" s="6" t="s">
        <v>2</v>
      </c>
      <c r="C101" s="6" t="s">
        <v>12</v>
      </c>
      <c r="D101" s="4" t="s">
        <v>95</v>
      </c>
      <c r="E101" s="1" t="s">
        <v>595</v>
      </c>
      <c r="F101" s="4">
        <v>2</v>
      </c>
      <c r="H101" s="4" t="s">
        <v>236</v>
      </c>
      <c r="I101" s="4" t="b">
        <v>0</v>
      </c>
      <c r="K101" s="4" t="b">
        <f>IF(COUNTIF($B$2:$B101,B101)&gt;1,TRUE,FALSE)</f>
        <v>0</v>
      </c>
      <c r="L101" t="str">
        <f t="shared" si="11"/>
        <v>p.update({"alias":{"dimension":{"type":"list_unquoted","subtype":"identifier","indent":2,"default_value":"","docs_url":"https://looker.com/docs/r/lookml/types/dimension/alias?version=7.14&amp;lookml=new","has_allowed_values":False,"allowed_values":""}}})</v>
      </c>
      <c r="M101" t="str">
        <f t="shared" si="12"/>
        <v>{"alias":{"dimension":{"type":"list_unquoted","subtype":"identifier","indent":2,"default_value":"","docs_url":"https://looker.com/docs/r/lookml/types/dimension/alias?version=7.14&amp;lookml=new","has_allowed_values":False,"allowed_values":""}}}</v>
      </c>
      <c r="N101" t="str">
        <f t="shared" si="14"/>
        <v>"type":"list_unquoted",</v>
      </c>
      <c r="O101" t="str">
        <f t="shared" si="15"/>
        <v>"subtype":"identifier",</v>
      </c>
      <c r="P101" t="str">
        <f t="shared" si="16"/>
        <v>"indent":2,</v>
      </c>
      <c r="Q101" t="str">
        <f t="shared" si="20"/>
        <v>"default_value":"",</v>
      </c>
      <c r="R101" t="str">
        <f t="shared" si="17"/>
        <v>"docs_url":"https://looker.com/docs/r/lookml/types/dimension/alias?version=7.14&amp;lookml=new",</v>
      </c>
      <c r="S101" t="str">
        <f t="shared" si="18"/>
        <v>"has_allowed_values":False,</v>
      </c>
      <c r="T101" t="str">
        <f t="shared" si="19"/>
        <v>"allowed_values":""</v>
      </c>
    </row>
    <row r="102" spans="1:20" ht="13" hidden="1" x14ac:dyDescent="0.15">
      <c r="A102" s="7">
        <v>109</v>
      </c>
      <c r="B102" s="6" t="s">
        <v>9</v>
      </c>
      <c r="C102" s="6" t="s">
        <v>12</v>
      </c>
      <c r="D102" s="4" t="s">
        <v>568</v>
      </c>
      <c r="E102" s="4" t="s">
        <v>568</v>
      </c>
      <c r="F102" s="4">
        <v>2</v>
      </c>
      <c r="G102" s="4" t="s">
        <v>604</v>
      </c>
      <c r="H102" s="4" t="s">
        <v>237</v>
      </c>
      <c r="I102" s="4" t="b">
        <v>0</v>
      </c>
      <c r="K102" s="4" t="b">
        <f>IF(COUNTIF($B$2:$B102,B102)&gt;1,TRUE,FALSE)</f>
        <v>0</v>
      </c>
      <c r="L102" t="str">
        <f t="shared" si="11"/>
        <v>p.update({"convert_tz":{"dimension":{"type":"yesno","subtype":"yesno","indent":2,"default_value":"yes","docs_url":"https://looker.com/docs/r/lookml/types/dimension/convert_tz?version=7.14&amp;lookml=new","has_allowed_values":False,"allowed_values":""}}})</v>
      </c>
      <c r="M102" t="str">
        <f t="shared" si="12"/>
        <v>{"convert_tz":{"dimension":{"type":"yesno","subtype":"yesno","indent":2,"default_value":"yes","docs_url":"https://looker.com/docs/r/lookml/types/dimension/convert_tz?version=7.14&amp;lookml=new","has_allowed_values":False,"allowed_values":""}}}</v>
      </c>
      <c r="N102" t="str">
        <f t="shared" si="14"/>
        <v>"type":"yesno",</v>
      </c>
      <c r="O102" t="str">
        <f t="shared" si="15"/>
        <v>"subtype":"yesno",</v>
      </c>
      <c r="P102" t="str">
        <f t="shared" si="16"/>
        <v>"indent":2,</v>
      </c>
      <c r="Q102" t="str">
        <f t="shared" si="20"/>
        <v>"default_value":"yes",</v>
      </c>
      <c r="R102" t="str">
        <f t="shared" si="17"/>
        <v>"docs_url":"https://looker.com/docs/r/lookml/types/dimension/convert_tz?version=7.14&amp;lookml=new",</v>
      </c>
      <c r="S102" t="str">
        <f t="shared" si="18"/>
        <v>"has_allowed_values":False,</v>
      </c>
      <c r="T102" t="str">
        <f t="shared" si="19"/>
        <v>"allowed_values":""</v>
      </c>
    </row>
    <row r="103" spans="1:20" ht="13" hidden="1" x14ac:dyDescent="0.15">
      <c r="A103" s="7">
        <v>110</v>
      </c>
      <c r="B103" s="6" t="s">
        <v>11</v>
      </c>
      <c r="C103" s="6" t="s">
        <v>12</v>
      </c>
      <c r="D103" s="4" t="s">
        <v>29</v>
      </c>
      <c r="E103" s="4" t="s">
        <v>0</v>
      </c>
      <c r="F103" s="4">
        <v>2</v>
      </c>
      <c r="G103" s="4" t="s">
        <v>591</v>
      </c>
      <c r="H103" s="4" t="s">
        <v>238</v>
      </c>
      <c r="I103" s="4" t="b">
        <v>0</v>
      </c>
      <c r="K103" s="4" t="b">
        <f>IF(COUNTIF($B$2:$B103,B103)&gt;1,TRUE,FALSE)</f>
        <v>1</v>
      </c>
      <c r="L103" t="str">
        <f t="shared" si="11"/>
        <v>p["description"].update({"dimension":{"type":"string","subtype":"possibly-localized-string","indent":2,"default_value":"","docs_url":"https://looker.com/docs/r/lookml/types/dimension/description?version=7.14&amp;lookml=new","has_allowed_values":False,"allowed_values":""}})</v>
      </c>
      <c r="M103" t="str">
        <f t="shared" si="12"/>
        <v>{"description":{"dimension":{"type":"string","subtype":"possibly-localized-string","indent":2,"default_value":"","docs_url":"https://looker.com/docs/r/lookml/types/dimension/description?version=7.14&amp;lookml=new","has_allowed_values":False,"allowed_values":""}}}</v>
      </c>
      <c r="N103" t="str">
        <f t="shared" si="14"/>
        <v>"type":"string",</v>
      </c>
      <c r="O103" t="str">
        <f t="shared" si="15"/>
        <v>"subtype":"possibly-localized-string",</v>
      </c>
      <c r="P103" t="str">
        <f t="shared" si="16"/>
        <v>"indent":2,</v>
      </c>
      <c r="Q103" t="str">
        <f t="shared" si="20"/>
        <v>"default_value":"",</v>
      </c>
      <c r="R103" t="str">
        <f t="shared" si="17"/>
        <v>"docs_url":"https://looker.com/docs/r/lookml/types/dimension/description?version=7.14&amp;lookml=new",</v>
      </c>
      <c r="S103" t="str">
        <f t="shared" si="18"/>
        <v>"has_allowed_values":False,</v>
      </c>
      <c r="T103" t="str">
        <f t="shared" si="19"/>
        <v>"allowed_values":""</v>
      </c>
    </row>
    <row r="104" spans="1:20" ht="13" hidden="1" x14ac:dyDescent="0.15">
      <c r="A104" s="7">
        <v>111</v>
      </c>
      <c r="B104" s="6" t="s">
        <v>21</v>
      </c>
      <c r="C104" s="6" t="s">
        <v>12</v>
      </c>
      <c r="D104" s="4" t="s">
        <v>568</v>
      </c>
      <c r="E104" s="4" t="s">
        <v>568</v>
      </c>
      <c r="F104" s="4">
        <v>2</v>
      </c>
      <c r="G104" s="4" t="s">
        <v>603</v>
      </c>
      <c r="H104" s="4" t="s">
        <v>239</v>
      </c>
      <c r="I104" s="4" t="b">
        <v>0</v>
      </c>
      <c r="K104" s="4" t="b">
        <f>IF(COUNTIF($B$2:$B104,B104)&gt;1,TRUE,FALSE)</f>
        <v>1</v>
      </c>
      <c r="L104" t="str">
        <f t="shared" si="11"/>
        <v>p["hidden"].update({"dimension":{"type":"yesno","subtype":"yesno","indent":2,"default_value":"no","docs_url":"https://looker.com/docs/r/lookml/types/dimension/hidden?version=7.14&amp;lookml=new","has_allowed_values":False,"allowed_values":""}})</v>
      </c>
      <c r="M104" t="str">
        <f t="shared" si="12"/>
        <v>{"hidden":{"dimension":{"type":"yesno","subtype":"yesno","indent":2,"default_value":"no","docs_url":"https://looker.com/docs/r/lookml/types/dimension/hidden?version=7.14&amp;lookml=new","has_allowed_values":False,"allowed_values":""}}}</v>
      </c>
      <c r="N104" t="str">
        <f t="shared" si="14"/>
        <v>"type":"yesno",</v>
      </c>
      <c r="O104" t="str">
        <f t="shared" si="15"/>
        <v>"subtype":"yesno",</v>
      </c>
      <c r="P104" t="str">
        <f t="shared" si="16"/>
        <v>"indent":2,</v>
      </c>
      <c r="Q104" t="str">
        <f t="shared" si="20"/>
        <v>"default_value":"no",</v>
      </c>
      <c r="R104" t="str">
        <f t="shared" si="17"/>
        <v>"docs_url":"https://looker.com/docs/r/lookml/types/dimension/hidden?version=7.14&amp;lookml=new",</v>
      </c>
      <c r="S104" t="str">
        <f t="shared" si="18"/>
        <v>"has_allowed_values":False,</v>
      </c>
      <c r="T104" t="str">
        <f t="shared" si="19"/>
        <v>"allowed_values":""</v>
      </c>
    </row>
    <row r="105" spans="1:20" ht="13" hidden="1" x14ac:dyDescent="0.15">
      <c r="A105" s="7">
        <v>112</v>
      </c>
      <c r="B105" s="6" t="s">
        <v>23</v>
      </c>
      <c r="C105" s="6" t="s">
        <v>12</v>
      </c>
      <c r="D105" s="4" t="s">
        <v>29</v>
      </c>
      <c r="E105" s="4" t="s">
        <v>0</v>
      </c>
      <c r="F105" s="4">
        <v>2</v>
      </c>
      <c r="G105" s="4" t="s">
        <v>591</v>
      </c>
      <c r="H105" s="4" t="s">
        <v>240</v>
      </c>
      <c r="I105" s="4" t="b">
        <v>0</v>
      </c>
      <c r="K105" s="4" t="b">
        <f>IF(COUNTIF($B$2:$B105,B105)&gt;1,TRUE,FALSE)</f>
        <v>1</v>
      </c>
      <c r="L105" t="str">
        <f t="shared" si="11"/>
        <v>p["label"].update({"dimension":{"type":"string","subtype":"possibly-localized-string","indent":2,"default_value":"","docs_url":"https://looker.com/docs/r/lookml/types/dimension/label?version=7.14&amp;lookml=new","has_allowed_values":False,"allowed_values":""}})</v>
      </c>
      <c r="M105" t="str">
        <f t="shared" si="12"/>
        <v>{"label":{"dimension":{"type":"string","subtype":"possibly-localized-string","indent":2,"default_value":"","docs_url":"https://looker.com/docs/r/lookml/types/dimension/label?version=7.14&amp;lookml=new","has_allowed_values":False,"allowed_values":""}}}</v>
      </c>
      <c r="N105" t="str">
        <f t="shared" si="14"/>
        <v>"type":"string",</v>
      </c>
      <c r="O105" t="str">
        <f t="shared" si="15"/>
        <v>"subtype":"possibly-localized-string",</v>
      </c>
      <c r="P105" t="str">
        <f t="shared" si="16"/>
        <v>"indent":2,</v>
      </c>
      <c r="Q105" t="str">
        <f t="shared" si="20"/>
        <v>"default_value":"",</v>
      </c>
      <c r="R105" t="str">
        <f t="shared" si="17"/>
        <v>"docs_url":"https://looker.com/docs/r/lookml/types/dimension/label?version=7.14&amp;lookml=new",</v>
      </c>
      <c r="S105" t="str">
        <f t="shared" si="18"/>
        <v>"has_allowed_values":False,</v>
      </c>
      <c r="T105" t="str">
        <f t="shared" si="19"/>
        <v>"allowed_values":""</v>
      </c>
    </row>
    <row r="106" spans="1:20" ht="13" hidden="1" x14ac:dyDescent="0.15">
      <c r="A106" s="7">
        <v>113</v>
      </c>
      <c r="B106" s="6" t="s">
        <v>31</v>
      </c>
      <c r="C106" s="6" t="s">
        <v>12</v>
      </c>
      <c r="D106" s="4" t="s">
        <v>610</v>
      </c>
      <c r="E106" s="4" t="s">
        <v>595</v>
      </c>
      <c r="F106" s="4">
        <v>2</v>
      </c>
      <c r="H106" s="4" t="s">
        <v>241</v>
      </c>
      <c r="I106" s="4" t="b">
        <v>0</v>
      </c>
      <c r="K106" s="4" t="b">
        <f>IF(COUNTIF($B$2:$B106,B106)&gt;1,TRUE,FALSE)</f>
        <v>1</v>
      </c>
      <c r="L106" t="str">
        <f t="shared" si="11"/>
        <v>p["required_access_grants"].update({"dimension":{"type":"list_unquoted","subtype":"access-grant-ref","indent":2,"default_value":"","docs_url":"https://looker.com/docs/r/lookml/types/dimension/required_access_grants?version=7.14&amp;lookml=new","has_allowed_values":False,"allowed_values":""}})</v>
      </c>
      <c r="M106" t="str">
        <f t="shared" si="12"/>
        <v>{"required_access_grants":{"dimension":{"type":"list_unquoted","subtype":"access-grant-ref","indent":2,"default_value":"","docs_url":"https://looker.com/docs/r/lookml/types/dimension/required_access_grants?version=7.14&amp;lookml=new","has_allowed_values":False,"allowed_values":""}}}</v>
      </c>
      <c r="N106" t="str">
        <f t="shared" si="14"/>
        <v>"type":"list_unquoted",</v>
      </c>
      <c r="O106" t="str">
        <f t="shared" si="15"/>
        <v>"subtype":"access-grant-ref",</v>
      </c>
      <c r="P106" t="str">
        <f t="shared" si="16"/>
        <v>"indent":2,</v>
      </c>
      <c r="Q106" t="str">
        <f t="shared" si="20"/>
        <v>"default_value":"",</v>
      </c>
      <c r="R106" t="str">
        <f t="shared" si="17"/>
        <v>"docs_url":"https://looker.com/docs/r/lookml/types/dimension/required_access_grants?version=7.14&amp;lookml=new",</v>
      </c>
      <c r="S106" t="str">
        <f t="shared" si="18"/>
        <v>"has_allowed_values":False,</v>
      </c>
      <c r="T106" t="str">
        <f t="shared" si="19"/>
        <v>"allowed_values":""</v>
      </c>
    </row>
    <row r="107" spans="1:20" ht="13" hidden="1" x14ac:dyDescent="0.15">
      <c r="A107" s="7">
        <v>114</v>
      </c>
      <c r="B107" s="6" t="s">
        <v>45</v>
      </c>
      <c r="C107" s="6" t="s">
        <v>12</v>
      </c>
      <c r="D107" s="4" t="s">
        <v>568</v>
      </c>
      <c r="E107" s="4" t="s">
        <v>568</v>
      </c>
      <c r="F107" s="4">
        <v>2</v>
      </c>
      <c r="G107" s="4" t="s">
        <v>604</v>
      </c>
      <c r="H107" s="4" t="s">
        <v>242</v>
      </c>
      <c r="I107" s="4" t="b">
        <v>0</v>
      </c>
      <c r="K107" s="4" t="b">
        <f>IF(COUNTIF($B$2:$B107,B107)&gt;1,TRUE,FALSE)</f>
        <v>0</v>
      </c>
      <c r="L107" t="str">
        <f t="shared" si="11"/>
        <v>p.update({"suggestable":{"dimension":{"type":"yesno","subtype":"yesno","indent":2,"default_value":"yes","docs_url":"https://looker.com/docs/r/lookml/types/dimension/suggestable?version=7.14&amp;lookml=new","has_allowed_values":False,"allowed_values":""}}})</v>
      </c>
      <c r="M107" t="str">
        <f t="shared" si="12"/>
        <v>{"suggestable":{"dimension":{"type":"yesno","subtype":"yesno","indent":2,"default_value":"yes","docs_url":"https://looker.com/docs/r/lookml/types/dimension/suggestable?version=7.14&amp;lookml=new","has_allowed_values":False,"allowed_values":""}}}</v>
      </c>
      <c r="N107" t="str">
        <f t="shared" si="14"/>
        <v>"type":"yesno",</v>
      </c>
      <c r="O107" t="str">
        <f t="shared" si="15"/>
        <v>"subtype":"yesno",</v>
      </c>
      <c r="P107" t="str">
        <f t="shared" si="16"/>
        <v>"indent":2,</v>
      </c>
      <c r="Q107" t="str">
        <f t="shared" si="20"/>
        <v>"default_value":"yes",</v>
      </c>
      <c r="R107" t="str">
        <f t="shared" si="17"/>
        <v>"docs_url":"https://looker.com/docs/r/lookml/types/dimension/suggestable?version=7.14&amp;lookml=new",</v>
      </c>
      <c r="S107" t="str">
        <f t="shared" si="18"/>
        <v>"has_allowed_values":False,</v>
      </c>
      <c r="T107" t="str">
        <f t="shared" si="19"/>
        <v>"allowed_values":""</v>
      </c>
    </row>
    <row r="108" spans="1:20" ht="13" hidden="1" x14ac:dyDescent="0.15">
      <c r="A108" s="7">
        <v>115</v>
      </c>
      <c r="B108" s="6" t="s">
        <v>47</v>
      </c>
      <c r="C108" s="6" t="s">
        <v>12</v>
      </c>
      <c r="D108" s="4" t="s">
        <v>597</v>
      </c>
      <c r="E108" s="4" t="s">
        <v>597</v>
      </c>
      <c r="F108" s="4">
        <v>2</v>
      </c>
      <c r="H108" s="4" t="s">
        <v>243</v>
      </c>
      <c r="I108" s="4" t="b">
        <v>0</v>
      </c>
      <c r="K108" s="4" t="b">
        <f>IF(COUNTIF($B$2:$B108,B108)&gt;1,TRUE,FALSE)</f>
        <v>1</v>
      </c>
      <c r="L108" t="str">
        <f t="shared" si="11"/>
        <v>p["tags"].update({"dimension":{"type":"list_quoted","subtype":"list_quoted","indent":2,"default_value":"","docs_url":"https://looker.com/docs/r/lookml/types/dimension/tags?version=7.14&amp;lookml=new","has_allowed_values":False,"allowed_values":""}})</v>
      </c>
      <c r="M108" t="str">
        <f t="shared" si="12"/>
        <v>{"tags":{"dimension":{"type":"list_quoted","subtype":"list_quoted","indent":2,"default_value":"","docs_url":"https://looker.com/docs/r/lookml/types/dimension/tags?version=7.14&amp;lookml=new","has_allowed_values":False,"allowed_values":""}}}</v>
      </c>
      <c r="N108" t="str">
        <f t="shared" si="14"/>
        <v>"type":"list_quoted",</v>
      </c>
      <c r="O108" t="str">
        <f t="shared" si="15"/>
        <v>"subtype":"list_quoted",</v>
      </c>
      <c r="P108" t="str">
        <f t="shared" si="16"/>
        <v>"indent":2,</v>
      </c>
      <c r="Q108" t="str">
        <f t="shared" si="20"/>
        <v>"default_value":"",</v>
      </c>
      <c r="R108" t="str">
        <f t="shared" si="17"/>
        <v>"docs_url":"https://looker.com/docs/r/lookml/types/dimension/tags?version=7.14&amp;lookml=new",</v>
      </c>
      <c r="S108" t="str">
        <f t="shared" si="18"/>
        <v>"has_allowed_values":False,</v>
      </c>
      <c r="T108" t="str">
        <f t="shared" si="19"/>
        <v>"allowed_values":""</v>
      </c>
    </row>
    <row r="109" spans="1:20" ht="13" hidden="1" x14ac:dyDescent="0.15">
      <c r="A109" s="7">
        <v>116</v>
      </c>
      <c r="B109" s="6" t="s">
        <v>49</v>
      </c>
      <c r="C109" s="6" t="s">
        <v>12</v>
      </c>
      <c r="D109" s="4" t="s">
        <v>550</v>
      </c>
      <c r="E109" s="4" t="s">
        <v>550</v>
      </c>
      <c r="F109" s="4">
        <v>2</v>
      </c>
      <c r="G109" s="4" t="s">
        <v>0</v>
      </c>
      <c r="H109" s="4" t="s">
        <v>244</v>
      </c>
      <c r="I109" s="4" t="b">
        <v>1</v>
      </c>
      <c r="J109" s="4" t="s">
        <v>569</v>
      </c>
      <c r="K109" s="4" t="b">
        <f>IF(COUNTIF($B$2:$B109,B109)&gt;1,TRUE,FALSE)</f>
        <v>0</v>
      </c>
      <c r="L109" t="str">
        <f t="shared" si="11"/>
        <v>p.update({"type":{"dimension":{"type":"options","subtype":"options","indent":2,"default_value":"string","docs_url":"https://looker.com/docs/r/lookml/types/dimension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})</v>
      </c>
      <c r="M109" t="str">
        <f t="shared" si="12"/>
        <v>{"type":{"dimension":{"type":"options","subtype":"options","indent":2,"default_value":"string","docs_url":"https://looker.com/docs/r/lookml/types/dimension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}</v>
      </c>
      <c r="N109" t="str">
        <f t="shared" si="14"/>
        <v>"type":"options",</v>
      </c>
      <c r="O109" t="str">
        <f t="shared" si="15"/>
        <v>"subtype":"options",</v>
      </c>
      <c r="P109" t="str">
        <f t="shared" si="16"/>
        <v>"indent":2,</v>
      </c>
      <c r="Q109" t="str">
        <f t="shared" si="20"/>
        <v>"default_value":"string",</v>
      </c>
      <c r="R109" t="str">
        <f t="shared" si="17"/>
        <v>"docs_url":"https://looker.com/docs/r/lookml/types/dimension/type?version=7.14&amp;lookml=new",</v>
      </c>
      <c r="S109" t="str">
        <f t="shared" si="18"/>
        <v>"has_allowed_values":True,</v>
      </c>
      <c r="T109" t="str">
        <f t="shared" si="19"/>
        <v>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</v>
      </c>
    </row>
    <row r="110" spans="1:20" ht="13" hidden="1" x14ac:dyDescent="0.15">
      <c r="A110" s="7">
        <v>117</v>
      </c>
      <c r="B110" s="6" t="s">
        <v>42</v>
      </c>
      <c r="C110" s="6" t="s">
        <v>12</v>
      </c>
      <c r="D110" s="4" t="s">
        <v>17</v>
      </c>
      <c r="E110" s="1" t="s">
        <v>598</v>
      </c>
      <c r="F110" s="4">
        <v>2</v>
      </c>
      <c r="H110" s="4" t="s">
        <v>245</v>
      </c>
      <c r="I110" s="4" t="b">
        <v>0</v>
      </c>
      <c r="K110" s="4" t="b">
        <f>IF(COUNTIF($B$2:$B110,B110)&gt;1,TRUE,FALSE)</f>
        <v>0</v>
      </c>
      <c r="L110" t="str">
        <f t="shared" si="11"/>
        <v>p.update({"suggest_dimension":{"dimension":{"type":"string_unquoted","subtype":"field-ref","indent":2,"default_value":"","docs_url":"https://looker.com/docs/r/lookml/types/dimension/suggest_dimension?version=7.14&amp;lookml=new","has_allowed_values":False,"allowed_values":""}}})</v>
      </c>
      <c r="M110" t="str">
        <f t="shared" si="12"/>
        <v>{"suggest_dimension":{"dimension":{"type":"string_unquoted","subtype":"field-ref","indent":2,"default_value":"","docs_url":"https://looker.com/docs/r/lookml/types/dimension/suggest_dimension?version=7.14&amp;lookml=new","has_allowed_values":False,"allowed_values":""}}}</v>
      </c>
      <c r="N110" t="str">
        <f t="shared" si="14"/>
        <v>"type":"string_unquoted",</v>
      </c>
      <c r="O110" t="str">
        <f t="shared" si="15"/>
        <v>"subtype":"field-ref",</v>
      </c>
      <c r="P110" t="str">
        <f t="shared" si="16"/>
        <v>"indent":2,</v>
      </c>
      <c r="Q110" t="str">
        <f t="shared" si="20"/>
        <v>"default_value":"",</v>
      </c>
      <c r="R110" t="str">
        <f t="shared" si="17"/>
        <v>"docs_url":"https://looker.com/docs/r/lookml/types/dimension/suggest_dimension?version=7.14&amp;lookml=new",</v>
      </c>
      <c r="S110" t="str">
        <f t="shared" si="18"/>
        <v>"has_allowed_values":False,</v>
      </c>
      <c r="T110" t="str">
        <f t="shared" si="19"/>
        <v>"allowed_values":""</v>
      </c>
    </row>
    <row r="111" spans="1:20" ht="13" hidden="1" x14ac:dyDescent="0.15">
      <c r="A111" s="7">
        <v>118</v>
      </c>
      <c r="B111" s="6" t="s">
        <v>43</v>
      </c>
      <c r="C111" s="6" t="s">
        <v>12</v>
      </c>
      <c r="D111" s="4" t="s">
        <v>15</v>
      </c>
      <c r="E111" s="1" t="s">
        <v>598</v>
      </c>
      <c r="F111" s="4">
        <v>2</v>
      </c>
      <c r="H111" s="4" t="s">
        <v>246</v>
      </c>
      <c r="I111" s="4" t="b">
        <v>0</v>
      </c>
      <c r="K111" s="4" t="b">
        <f>IF(COUNTIF($B$2:$B111,B111)&gt;1,TRUE,FALSE)</f>
        <v>0</v>
      </c>
      <c r="L111" t="str">
        <f t="shared" si="11"/>
        <v>p.update({"suggest_explore":{"dimension":{"type":"string_unquoted","subtype":"explore-ref","indent":2,"default_value":"","docs_url":"https://looker.com/docs/r/lookml/types/dimension/suggest_explore?version=7.14&amp;lookml=new","has_allowed_values":False,"allowed_values":""}}})</v>
      </c>
      <c r="M111" t="str">
        <f t="shared" si="12"/>
        <v>{"suggest_explore":{"dimension":{"type":"string_unquoted","subtype":"explore-ref","indent":2,"default_value":"","docs_url":"https://looker.com/docs/r/lookml/types/dimension/suggest_explore?version=7.14&amp;lookml=new","has_allowed_values":False,"allowed_values":""}}}</v>
      </c>
      <c r="N111" t="str">
        <f t="shared" si="14"/>
        <v>"type":"string_unquoted",</v>
      </c>
      <c r="O111" t="str">
        <f t="shared" si="15"/>
        <v>"subtype":"explore-ref",</v>
      </c>
      <c r="P111" t="str">
        <f t="shared" si="16"/>
        <v>"indent":2,</v>
      </c>
      <c r="Q111" t="str">
        <f t="shared" si="20"/>
        <v>"default_value":"",</v>
      </c>
      <c r="R111" t="str">
        <f t="shared" si="17"/>
        <v>"docs_url":"https://looker.com/docs/r/lookml/types/dimension/suggest_explore?version=7.14&amp;lookml=new",</v>
      </c>
      <c r="S111" t="str">
        <f t="shared" si="18"/>
        <v>"has_allowed_values":False,</v>
      </c>
      <c r="T111" t="str">
        <f t="shared" si="19"/>
        <v>"allowed_values":""</v>
      </c>
    </row>
    <row r="112" spans="1:20" ht="13" hidden="1" x14ac:dyDescent="0.15">
      <c r="A112" s="7">
        <v>119</v>
      </c>
      <c r="B112" s="6" t="s">
        <v>54</v>
      </c>
      <c r="C112" s="6" t="s">
        <v>12</v>
      </c>
      <c r="D112" s="4" t="s">
        <v>29</v>
      </c>
      <c r="E112" s="4" t="s">
        <v>0</v>
      </c>
      <c r="F112" s="4">
        <v>2</v>
      </c>
      <c r="G112" s="4" t="s">
        <v>591</v>
      </c>
      <c r="H112" s="4" t="s">
        <v>247</v>
      </c>
      <c r="I112" s="4" t="b">
        <v>0</v>
      </c>
      <c r="K112" s="4" t="b">
        <f>IF(COUNTIF($B$2:$B112,B112)&gt;1,TRUE,FALSE)</f>
        <v>1</v>
      </c>
      <c r="L112" t="str">
        <f t="shared" si="11"/>
        <v>p["view_label"].update({"dimension":{"type":"string","subtype":"possibly-localized-string","indent":2,"default_value":"","docs_url":"https://looker.com/docs/r/lookml/types/dimension/view_label?version=7.14&amp;lookml=new","has_allowed_values":False,"allowed_values":""}})</v>
      </c>
      <c r="M112" t="str">
        <f t="shared" si="12"/>
        <v>{"view_label":{"dimension":{"type":"string","subtype":"possibly-localized-string","indent":2,"default_value":"","docs_url":"https://looker.com/docs/r/lookml/types/dimension/view_label?version=7.14&amp;lookml=new","has_allowed_values":False,"allowed_values":""}}}</v>
      </c>
      <c r="N112" t="str">
        <f t="shared" si="14"/>
        <v>"type":"string",</v>
      </c>
      <c r="O112" t="str">
        <f t="shared" si="15"/>
        <v>"subtype":"possibly-localized-string",</v>
      </c>
      <c r="P112" t="str">
        <f t="shared" si="16"/>
        <v>"indent":2,</v>
      </c>
      <c r="Q112" t="str">
        <f t="shared" si="20"/>
        <v>"default_value":"",</v>
      </c>
      <c r="R112" t="str">
        <f t="shared" si="17"/>
        <v>"docs_url":"https://looker.com/docs/r/lookml/types/dimension/view_label?version=7.14&amp;lookml=new",</v>
      </c>
      <c r="S112" t="str">
        <f t="shared" si="18"/>
        <v>"has_allowed_values":False,</v>
      </c>
      <c r="T112" t="str">
        <f t="shared" si="19"/>
        <v>"allowed_values":""</v>
      </c>
    </row>
    <row r="113" spans="1:20" ht="13" hidden="1" x14ac:dyDescent="0.15">
      <c r="A113" s="7">
        <v>122</v>
      </c>
      <c r="B113" s="6" t="s">
        <v>1</v>
      </c>
      <c r="C113" s="6" t="s">
        <v>61</v>
      </c>
      <c r="D113" s="4" t="s">
        <v>540</v>
      </c>
      <c r="E113" s="4" t="s">
        <v>540</v>
      </c>
      <c r="F113" s="4">
        <v>2</v>
      </c>
      <c r="H113" s="4" t="s">
        <v>248</v>
      </c>
      <c r="I113" s="4" t="b">
        <v>0</v>
      </c>
      <c r="K113" s="4" t="b">
        <f>IF(COUNTIF($B$2:$B113,B113)&gt;1,TRUE,FALSE)</f>
        <v>1</v>
      </c>
      <c r="L113" t="str">
        <f t="shared" si="11"/>
        <v>p["action"].update({"measure":{"type":"anonymous_construct_plural","subtype":"anonymous_construct_plural","indent":2,"default_value":"","docs_url":"https://looker.com/docs/r/lookml/types/measure/action?version=7.14&amp;lookml=new","has_allowed_values":False,"allowed_values":""}})</v>
      </c>
      <c r="M113" t="str">
        <f t="shared" si="12"/>
        <v>{"action":{"measure":{"type":"anonymous_construct_plural","subtype":"anonymous_construct_plural","indent":2,"default_value":"","docs_url":"https://looker.com/docs/r/lookml/types/measure/action?version=7.14&amp;lookml=new","has_allowed_values":False,"allowed_values":""}}}</v>
      </c>
      <c r="N113" t="str">
        <f t="shared" si="14"/>
        <v>"type":"anonymous_construct_plural",</v>
      </c>
      <c r="O113" t="str">
        <f t="shared" si="15"/>
        <v>"subtype":"anonymous_construct_plural",</v>
      </c>
      <c r="P113" t="str">
        <f t="shared" si="16"/>
        <v>"indent":2,</v>
      </c>
      <c r="Q113" t="str">
        <f t="shared" si="20"/>
        <v>"default_value":"",</v>
      </c>
      <c r="R113" t="str">
        <f t="shared" si="17"/>
        <v>"docs_url":"https://looker.com/docs/r/lookml/types/measure/action?version=7.14&amp;lookml=new",</v>
      </c>
      <c r="S113" t="str">
        <f t="shared" si="18"/>
        <v>"has_allowed_values":False,</v>
      </c>
      <c r="T113" t="str">
        <f t="shared" si="19"/>
        <v>"allowed_values":""</v>
      </c>
    </row>
    <row r="114" spans="1:20" ht="13" hidden="1" x14ac:dyDescent="0.15">
      <c r="A114" s="7">
        <v>123</v>
      </c>
      <c r="B114" s="6" t="s">
        <v>56</v>
      </c>
      <c r="C114" s="6" t="s">
        <v>61</v>
      </c>
      <c r="D114" s="4" t="s">
        <v>568</v>
      </c>
      <c r="E114" s="4" t="s">
        <v>568</v>
      </c>
      <c r="F114" s="4">
        <v>2</v>
      </c>
      <c r="G114" s="4" t="s">
        <v>603</v>
      </c>
      <c r="H114" s="4" t="s">
        <v>249</v>
      </c>
      <c r="I114" s="4" t="b">
        <v>0</v>
      </c>
      <c r="K114" s="4" t="b">
        <f>IF(COUNTIF($B$2:$B114,B114)&gt;1,TRUE,FALSE)</f>
        <v>0</v>
      </c>
      <c r="L114" t="str">
        <f t="shared" si="11"/>
        <v>p.update({"approximate":{"measure":{"type":"yesno","subtype":"yesno","indent":2,"default_value":"no","docs_url":"https://looker.com/docs/r/lookml/types/measure/approximate?version=7.14&amp;lookml=new","has_allowed_values":False,"allowed_values":""}}})</v>
      </c>
      <c r="M114" t="str">
        <f t="shared" si="12"/>
        <v>{"approximate":{"measure":{"type":"yesno","subtype":"yesno","indent":2,"default_value":"no","docs_url":"https://looker.com/docs/r/lookml/types/measure/approximate?version=7.14&amp;lookml=new","has_allowed_values":False,"allowed_values":""}}}</v>
      </c>
      <c r="N114" t="str">
        <f t="shared" si="14"/>
        <v>"type":"yesno",</v>
      </c>
      <c r="O114" t="str">
        <f t="shared" si="15"/>
        <v>"subtype":"yesno",</v>
      </c>
      <c r="P114" t="str">
        <f t="shared" si="16"/>
        <v>"indent":2,</v>
      </c>
      <c r="Q114" t="str">
        <f t="shared" si="20"/>
        <v>"default_value":"no",</v>
      </c>
      <c r="R114" t="str">
        <f t="shared" si="17"/>
        <v>"docs_url":"https://looker.com/docs/r/lookml/types/measure/approximate?version=7.14&amp;lookml=new",</v>
      </c>
      <c r="S114" t="str">
        <f t="shared" si="18"/>
        <v>"has_allowed_values":False,</v>
      </c>
      <c r="T114" t="str">
        <f t="shared" si="19"/>
        <v>"allowed_values":""</v>
      </c>
    </row>
    <row r="115" spans="1:20" ht="13" hidden="1" x14ac:dyDescent="0.15">
      <c r="A115" s="7">
        <v>124</v>
      </c>
      <c r="B115" s="6" t="s">
        <v>57</v>
      </c>
      <c r="C115" s="6" t="s">
        <v>61</v>
      </c>
      <c r="D115" s="4" t="s">
        <v>62</v>
      </c>
      <c r="E115" s="4" t="s">
        <v>598</v>
      </c>
      <c r="F115" s="4">
        <v>2</v>
      </c>
      <c r="G115" s="4">
        <v>100000</v>
      </c>
      <c r="H115" s="4" t="s">
        <v>250</v>
      </c>
      <c r="I115" s="4" t="b">
        <v>0</v>
      </c>
      <c r="K115" s="4" t="b">
        <f>IF(COUNTIF($B$2:$B115,B115)&gt;1,TRUE,FALSE)</f>
        <v>0</v>
      </c>
      <c r="L115" t="str">
        <f t="shared" si="11"/>
        <v>p.update({"approximate_threshold":{"measure":{"type":"string_unquoted","subtype":"number","indent":2,"default_value":"100000","docs_url":"https://looker.com/docs/r/lookml/types/measure/approximate_threshold?version=7.14&amp;lookml=new","has_allowed_values":False,"allowed_values":""}}})</v>
      </c>
      <c r="M115" t="str">
        <f t="shared" si="12"/>
        <v>{"approximate_threshold":{"measure":{"type":"string_unquoted","subtype":"number","indent":2,"default_value":"100000","docs_url":"https://looker.com/docs/r/lookml/types/measure/approximate_threshold?version=7.14&amp;lookml=new","has_allowed_values":False,"allowed_values":""}}}</v>
      </c>
      <c r="N115" t="str">
        <f t="shared" si="14"/>
        <v>"type":"string_unquoted",</v>
      </c>
      <c r="O115" t="str">
        <f t="shared" si="15"/>
        <v>"subtype":"number",</v>
      </c>
      <c r="P115" t="str">
        <f t="shared" si="16"/>
        <v>"indent":2,</v>
      </c>
      <c r="Q115" t="str">
        <f t="shared" si="20"/>
        <v>"default_value":"100000",</v>
      </c>
      <c r="R115" t="str">
        <f t="shared" si="17"/>
        <v>"docs_url":"https://looker.com/docs/r/lookml/types/measure/approximate_threshold?version=7.14&amp;lookml=new",</v>
      </c>
      <c r="S115" t="str">
        <f t="shared" si="18"/>
        <v>"has_allowed_values":False,</v>
      </c>
      <c r="T115" t="str">
        <f t="shared" si="19"/>
        <v>"allowed_values":""</v>
      </c>
    </row>
    <row r="116" spans="1:20" ht="13" hidden="1" x14ac:dyDescent="0.15">
      <c r="A116" s="7">
        <v>125</v>
      </c>
      <c r="B116" s="6" t="s">
        <v>55</v>
      </c>
      <c r="C116" s="6" t="s">
        <v>61</v>
      </c>
      <c r="D116" s="4" t="s">
        <v>568</v>
      </c>
      <c r="E116" s="4" t="s">
        <v>568</v>
      </c>
      <c r="F116" s="4">
        <v>2</v>
      </c>
      <c r="G116" s="4" t="s">
        <v>603</v>
      </c>
      <c r="H116" s="4" t="s">
        <v>251</v>
      </c>
      <c r="I116" s="4" t="b">
        <v>0</v>
      </c>
      <c r="K116" s="4" t="b">
        <f>IF(COUNTIF($B$2:$B116,B116)&gt;1,TRUE,FALSE)</f>
        <v>0</v>
      </c>
      <c r="L116" t="str">
        <f t="shared" si="11"/>
        <v>p.update({"allow_approximate_optimization":{"measure":{"type":"yesno","subtype":"yesno","indent":2,"default_value":"no","docs_url":"https://looker.com/docs/r/lookml/types/measure/allow_approximate_optimization?version=7.14&amp;lookml=new","has_allowed_values":False,"allowed_values":""}}})</v>
      </c>
      <c r="M116" t="str">
        <f t="shared" si="12"/>
        <v>{"allow_approximate_optimization":{"measure":{"type":"yesno","subtype":"yesno","indent":2,"default_value":"no","docs_url":"https://looker.com/docs/r/lookml/types/measure/allow_approximate_optimization?version=7.14&amp;lookml=new","has_allowed_values":False,"allowed_values":""}}}</v>
      </c>
      <c r="N116" t="str">
        <f t="shared" si="14"/>
        <v>"type":"yesno",</v>
      </c>
      <c r="O116" t="str">
        <f t="shared" si="15"/>
        <v>"subtype":"yesno",</v>
      </c>
      <c r="P116" t="str">
        <f t="shared" si="16"/>
        <v>"indent":2,</v>
      </c>
      <c r="Q116" t="str">
        <f t="shared" si="20"/>
        <v>"default_value":"no",</v>
      </c>
      <c r="R116" t="str">
        <f t="shared" si="17"/>
        <v>"docs_url":"https://looker.com/docs/r/lookml/types/measure/allow_approximate_optimization?version=7.14&amp;lookml=new",</v>
      </c>
      <c r="S116" t="str">
        <f t="shared" si="18"/>
        <v>"has_allowed_values":False,</v>
      </c>
      <c r="T116" t="str">
        <f t="shared" si="19"/>
        <v>"allowed_values":""</v>
      </c>
    </row>
    <row r="117" spans="1:20" ht="13" hidden="1" x14ac:dyDescent="0.15">
      <c r="A117" s="7">
        <v>126</v>
      </c>
      <c r="B117" s="6" t="s">
        <v>6</v>
      </c>
      <c r="C117" s="6" t="s">
        <v>61</v>
      </c>
      <c r="D117" s="4" t="s">
        <v>568</v>
      </c>
      <c r="E117" s="4" t="s">
        <v>568</v>
      </c>
      <c r="F117" s="4">
        <v>2</v>
      </c>
      <c r="G117" s="4" t="s">
        <v>604</v>
      </c>
      <c r="H117" s="4" t="s">
        <v>252</v>
      </c>
      <c r="I117" s="4" t="b">
        <v>0</v>
      </c>
      <c r="K117" s="4" t="b">
        <f>IF(COUNTIF($B$2:$B117,B117)&gt;1,TRUE,FALSE)</f>
        <v>1</v>
      </c>
      <c r="L117" t="str">
        <f t="shared" si="11"/>
        <v>p["can_filter"].update({"measure":{"type":"yesno","subtype":"yesno","indent":2,"default_value":"yes","docs_url":"https://looker.com/docs/r/lookml/types/measure/can_filter?version=7.14&amp;lookml=new","has_allowed_values":False,"allowed_values":""}})</v>
      </c>
      <c r="M117" t="str">
        <f t="shared" si="12"/>
        <v>{"can_filter":{"measure":{"type":"yesno","subtype":"yesno","indent":2,"default_value":"yes","docs_url":"https://looker.com/docs/r/lookml/types/measure/can_filter?version=7.14&amp;lookml=new","has_allowed_values":False,"allowed_values":""}}}</v>
      </c>
      <c r="N117" t="str">
        <f t="shared" si="14"/>
        <v>"type":"yesno",</v>
      </c>
      <c r="O117" t="str">
        <f t="shared" si="15"/>
        <v>"subtype":"yesno",</v>
      </c>
      <c r="P117" t="str">
        <f t="shared" si="16"/>
        <v>"indent":2,</v>
      </c>
      <c r="Q117" t="str">
        <f t="shared" si="20"/>
        <v>"default_value":"yes",</v>
      </c>
      <c r="R117" t="str">
        <f t="shared" si="17"/>
        <v>"docs_url":"https://looker.com/docs/r/lookml/types/measure/can_filter?version=7.14&amp;lookml=new",</v>
      </c>
      <c r="S117" t="str">
        <f t="shared" si="18"/>
        <v>"has_allowed_values":False,</v>
      </c>
      <c r="T117" t="str">
        <f t="shared" si="19"/>
        <v>"allowed_values":""</v>
      </c>
    </row>
    <row r="118" spans="1:20" ht="13" hidden="1" x14ac:dyDescent="0.15">
      <c r="A118" s="7">
        <v>127</v>
      </c>
      <c r="B118" s="6" t="s">
        <v>10</v>
      </c>
      <c r="C118" s="6" t="s">
        <v>61</v>
      </c>
      <c r="D118" s="4" t="s">
        <v>550</v>
      </c>
      <c r="E118" s="4" t="s">
        <v>550</v>
      </c>
      <c r="F118" s="4">
        <v>2</v>
      </c>
      <c r="G118" s="4" t="s">
        <v>574</v>
      </c>
      <c r="H118" s="4" t="s">
        <v>253</v>
      </c>
      <c r="I118" s="4" t="b">
        <v>1</v>
      </c>
      <c r="J118" s="4" t="s">
        <v>575</v>
      </c>
      <c r="K118" s="4" t="b">
        <f>IF(COUNTIF($B$2:$B118,B118)&gt;1,TRUE,FALSE)</f>
        <v>1</v>
      </c>
      <c r="L118" t="str">
        <f t="shared" si="11"/>
        <v>p["datatype"].update({"measure":{"type":"options","subtype":"options","indent":2,"default_value":"timestamp","docs_url":"https://looker.com/docs/r/lookml/types/measure/datatype?version=7.14&amp;lookml=new","has_allowed_values":True,"allowed_values":["timestamp","epoch","date","datetime","timestamp", "yyyymmdd"]}})</v>
      </c>
      <c r="M118" t="str">
        <f t="shared" si="12"/>
        <v>{"datatype":{"measure":{"type":"options","subtype":"options","indent":2,"default_value":"timestamp","docs_url":"https://looker.com/docs/r/lookml/types/measure/datatype?version=7.14&amp;lookml=new","has_allowed_values":True,"allowed_values":["timestamp","epoch","date","datetime","timestamp", "yyyymmdd"]}}}</v>
      </c>
      <c r="N118" t="str">
        <f t="shared" si="14"/>
        <v>"type":"options",</v>
      </c>
      <c r="O118" t="str">
        <f t="shared" si="15"/>
        <v>"subtype":"options",</v>
      </c>
      <c r="P118" t="str">
        <f t="shared" si="16"/>
        <v>"indent":2,</v>
      </c>
      <c r="Q118" t="str">
        <f t="shared" si="20"/>
        <v>"default_value":"timestamp",</v>
      </c>
      <c r="R118" t="str">
        <f t="shared" si="17"/>
        <v>"docs_url":"https://looker.com/docs/r/lookml/types/measure/datatype?version=7.14&amp;lookml=new",</v>
      </c>
      <c r="S118" t="str">
        <f t="shared" si="18"/>
        <v>"has_allowed_values":True,</v>
      </c>
      <c r="T118" t="str">
        <f t="shared" si="19"/>
        <v>"allowed_values":["timestamp","epoch","date","datetime","timestamp", "yyyymmdd"]</v>
      </c>
    </row>
    <row r="119" spans="1:20" ht="13" hidden="1" x14ac:dyDescent="0.15">
      <c r="A119" s="7">
        <v>128</v>
      </c>
      <c r="B119" s="6" t="s">
        <v>58</v>
      </c>
      <c r="C119" s="6" t="s">
        <v>61</v>
      </c>
      <c r="D119" s="4" t="s">
        <v>582</v>
      </c>
      <c r="E119" s="4" t="s">
        <v>582</v>
      </c>
      <c r="F119" s="4">
        <v>2</v>
      </c>
      <c r="G119" s="4" t="s">
        <v>583</v>
      </c>
      <c r="H119" s="4" t="s">
        <v>254</v>
      </c>
      <c r="I119" s="4" t="b">
        <v>1</v>
      </c>
      <c r="J119" s="4" t="s">
        <v>584</v>
      </c>
      <c r="K119" s="4" t="b">
        <f>IF(COUNTIF($B$2:$B119,B119)&gt;1,TRUE,FALSE)</f>
        <v>0</v>
      </c>
      <c r="L119" t="str">
        <f t="shared" si="11"/>
        <v>p.update({"direction":{"measure":{"type":"options_quoted","subtype":"options_quoted","indent":2,"default_value":"row","docs_url":"https://looker.com/docs/r/lookml/types/measure/direction?version=7.14&amp;lookml=new","has_allowed_values":True,"allowed_values":["row","column"]}}})</v>
      </c>
      <c r="M119" t="str">
        <f t="shared" si="12"/>
        <v>{"direction":{"measure":{"type":"options_quoted","subtype":"options_quoted","indent":2,"default_value":"row","docs_url":"https://looker.com/docs/r/lookml/types/measure/direction?version=7.14&amp;lookml=new","has_allowed_values":True,"allowed_values":["row","column"]}}}</v>
      </c>
      <c r="N119" t="str">
        <f t="shared" si="14"/>
        <v>"type":"options_quoted",</v>
      </c>
      <c r="O119" t="str">
        <f t="shared" si="15"/>
        <v>"subtype":"options_quoted",</v>
      </c>
      <c r="P119" t="str">
        <f t="shared" si="16"/>
        <v>"indent":2,</v>
      </c>
      <c r="Q119" t="str">
        <f t="shared" si="20"/>
        <v>"default_value":"row",</v>
      </c>
      <c r="R119" t="str">
        <f t="shared" si="17"/>
        <v>"docs_url":"https://looker.com/docs/r/lookml/types/measure/direction?version=7.14&amp;lookml=new",</v>
      </c>
      <c r="S119" t="str">
        <f t="shared" si="18"/>
        <v>"has_allowed_values":True,</v>
      </c>
      <c r="T119" t="str">
        <f t="shared" si="19"/>
        <v>"allowed_values":["row","column"]</v>
      </c>
    </row>
    <row r="120" spans="1:20" ht="13" hidden="1" x14ac:dyDescent="0.15">
      <c r="A120" s="7">
        <v>129</v>
      </c>
      <c r="B120" s="6" t="s">
        <v>13</v>
      </c>
      <c r="C120" s="6" t="s">
        <v>61</v>
      </c>
      <c r="D120" s="4" t="s">
        <v>17</v>
      </c>
      <c r="E120" s="4" t="s">
        <v>595</v>
      </c>
      <c r="F120" s="4">
        <v>2</v>
      </c>
      <c r="H120" s="4" t="s">
        <v>255</v>
      </c>
      <c r="I120" s="4" t="b">
        <v>0</v>
      </c>
      <c r="K120" s="4" t="b">
        <f>IF(COUNTIF($B$2:$B120,B120)&gt;1,TRUE,FALSE)</f>
        <v>1</v>
      </c>
      <c r="L120" t="str">
        <f t="shared" si="11"/>
        <v>p["drill_fields"].update({"measure":{"type":"list_unquoted","subtype":"field-ref","indent":2,"default_value":"","docs_url":"https://looker.com/docs/r/lookml/types/measure/drill_fields?version=7.14&amp;lookml=new","has_allowed_values":False,"allowed_values":""}})</v>
      </c>
      <c r="M120" t="str">
        <f t="shared" si="12"/>
        <v>{"drill_fields":{"measure":{"type":"list_unquoted","subtype":"field-ref","indent":2,"default_value":"","docs_url":"https://looker.com/docs/r/lookml/types/measure/drill_fields?version=7.14&amp;lookml=new","has_allowed_values":False,"allowed_values":""}}}</v>
      </c>
      <c r="N120" t="str">
        <f t="shared" si="14"/>
        <v>"type":"list_unquoted",</v>
      </c>
      <c r="O120" t="str">
        <f t="shared" si="15"/>
        <v>"subtype":"field-ref",</v>
      </c>
      <c r="P120" t="str">
        <f t="shared" si="16"/>
        <v>"indent":2,</v>
      </c>
      <c r="Q120" t="str">
        <f t="shared" si="20"/>
        <v>"default_value":"",</v>
      </c>
      <c r="R120" t="str">
        <f t="shared" si="17"/>
        <v>"docs_url":"https://looker.com/docs/r/lookml/types/measure/drill_fields?version=7.14&amp;lookml=new",</v>
      </c>
      <c r="S120" t="str">
        <f t="shared" si="18"/>
        <v>"has_allowed_values":False,</v>
      </c>
      <c r="T120" t="str">
        <f t="shared" si="19"/>
        <v>"allowed_values":""</v>
      </c>
    </row>
    <row r="121" spans="1:20" ht="13" hidden="1" x14ac:dyDescent="0.15">
      <c r="A121" s="7">
        <v>130</v>
      </c>
      <c r="B121" s="6" t="s">
        <v>16</v>
      </c>
      <c r="C121" s="6" t="s">
        <v>61</v>
      </c>
      <c r="D121" s="4" t="s">
        <v>0</v>
      </c>
      <c r="E121" s="4" t="s">
        <v>0</v>
      </c>
      <c r="F121" s="4">
        <v>2</v>
      </c>
      <c r="G121" s="4" t="s">
        <v>591</v>
      </c>
      <c r="H121" s="4" t="s">
        <v>256</v>
      </c>
      <c r="I121" s="4" t="b">
        <v>0</v>
      </c>
      <c r="K121" s="4" t="b">
        <f>IF(COUNTIF($B$2:$B121,B121)&gt;1,TRUE,FALSE)</f>
        <v>1</v>
      </c>
      <c r="L121" t="str">
        <f t="shared" si="11"/>
        <v>p["fanout_on"].update({"measure":{"type":"string","subtype":"string","indent":2,"default_value":"","docs_url":"https://looker.com/docs/r/lookml/types/measure/fanout_on?version=7.14&amp;lookml=new","has_allowed_values":False,"allowed_values":""}})</v>
      </c>
      <c r="M121" t="str">
        <f t="shared" si="12"/>
        <v>{"fanout_on":{"measure":{"type":"string","subtype":"string","indent":2,"default_value":"","docs_url":"https://looker.com/docs/r/lookml/types/measure/fanout_on?version=7.14&amp;lookml=new","has_allowed_values":False,"allowed_values":""}}}</v>
      </c>
      <c r="N121" t="str">
        <f t="shared" si="14"/>
        <v>"type":"string",</v>
      </c>
      <c r="O121" t="str">
        <f t="shared" si="15"/>
        <v>"subtype":"string",</v>
      </c>
      <c r="P121" t="str">
        <f t="shared" si="16"/>
        <v>"indent":2,</v>
      </c>
      <c r="Q121" t="str">
        <f t="shared" si="20"/>
        <v>"default_value":"",</v>
      </c>
      <c r="R121" t="str">
        <f t="shared" si="17"/>
        <v>"docs_url":"https://looker.com/docs/r/lookml/types/measure/fanout_on?version=7.14&amp;lookml=new",</v>
      </c>
      <c r="S121" t="str">
        <f t="shared" si="18"/>
        <v>"has_allowed_values":False,</v>
      </c>
      <c r="T121" t="str">
        <f t="shared" si="19"/>
        <v>"allowed_values":""</v>
      </c>
    </row>
    <row r="122" spans="1:20" ht="13" hidden="1" x14ac:dyDescent="0.15">
      <c r="A122" s="7">
        <v>131</v>
      </c>
      <c r="B122" s="6" t="s">
        <v>59</v>
      </c>
      <c r="C122" s="6" t="s">
        <v>61</v>
      </c>
      <c r="D122" s="4" t="s">
        <v>95</v>
      </c>
      <c r="E122" s="4" t="s">
        <v>59</v>
      </c>
      <c r="F122" s="4">
        <v>2</v>
      </c>
      <c r="H122" s="4" t="s">
        <v>257</v>
      </c>
      <c r="I122" s="4" t="b">
        <v>0</v>
      </c>
      <c r="K122" s="4" t="b">
        <f>IF(COUNTIF($B$2:$B122,B122)&gt;1,TRUE,FALSE)</f>
        <v>0</v>
      </c>
      <c r="L122" t="str">
        <f t="shared" si="11"/>
        <v>p.update({"filters":{"measure":{"type":"filters","subtype":"identifier","indent":2,"default_value":"","docs_url":"https://looker.com/docs/r/lookml/types/measure/filters?version=7.14&amp;lookml=new","has_allowed_values":False,"allowed_values":""}}})</v>
      </c>
      <c r="M122" t="str">
        <f t="shared" si="12"/>
        <v>{"filters":{"measure":{"type":"filters","subtype":"identifier","indent":2,"default_value":"","docs_url":"https://looker.com/docs/r/lookml/types/measure/filters?version=7.14&amp;lookml=new","has_allowed_values":False,"allowed_values":""}}}</v>
      </c>
      <c r="N122" t="str">
        <f t="shared" si="14"/>
        <v>"type":"filters",</v>
      </c>
      <c r="O122" t="str">
        <f t="shared" si="15"/>
        <v>"subtype":"identifier",</v>
      </c>
      <c r="P122" t="str">
        <f t="shared" si="16"/>
        <v>"indent":2,</v>
      </c>
      <c r="Q122" t="str">
        <f t="shared" si="20"/>
        <v>"default_value":"",</v>
      </c>
      <c r="R122" t="str">
        <f t="shared" si="17"/>
        <v>"docs_url":"https://looker.com/docs/r/lookml/types/measure/filters?version=7.14&amp;lookml=new",</v>
      </c>
      <c r="S122" t="str">
        <f t="shared" si="18"/>
        <v>"has_allowed_values":False,</v>
      </c>
      <c r="T122" t="str">
        <f t="shared" si="19"/>
        <v>"allowed_values":""</v>
      </c>
    </row>
    <row r="123" spans="1:20" ht="13" hidden="1" x14ac:dyDescent="0.15">
      <c r="A123" s="7">
        <v>132</v>
      </c>
      <c r="B123" s="6" t="s">
        <v>20</v>
      </c>
      <c r="C123" s="6" t="s">
        <v>61</v>
      </c>
      <c r="D123" s="4" t="s">
        <v>29</v>
      </c>
      <c r="E123" s="4" t="s">
        <v>0</v>
      </c>
      <c r="F123" s="4">
        <v>2</v>
      </c>
      <c r="G123" s="4" t="s">
        <v>591</v>
      </c>
      <c r="H123" s="4" t="s">
        <v>258</v>
      </c>
      <c r="I123" s="4" t="b">
        <v>0</v>
      </c>
      <c r="K123" s="4" t="b">
        <f>IF(COUNTIF($B$2:$B123,B123)&gt;1,TRUE,FALSE)</f>
        <v>1</v>
      </c>
      <c r="L123" t="str">
        <f t="shared" si="11"/>
        <v>p["group_label"].update({"measure":{"type":"string","subtype":"possibly-localized-string","indent":2,"default_value":"","docs_url":"https://looker.com/docs/r/lookml/types/measure/group_label?version=7.14&amp;lookml=new","has_allowed_values":False,"allowed_values":""}})</v>
      </c>
      <c r="M123" t="str">
        <f t="shared" si="12"/>
        <v>{"group_label":{"measure":{"type":"string","subtype":"possibly-localized-string","indent":2,"default_value":"","docs_url":"https://looker.com/docs/r/lookml/types/measure/group_label?version=7.14&amp;lookml=new","has_allowed_values":False,"allowed_values":""}}}</v>
      </c>
      <c r="N123" t="str">
        <f t="shared" si="14"/>
        <v>"type":"string",</v>
      </c>
      <c r="O123" t="str">
        <f t="shared" si="15"/>
        <v>"subtype":"possibly-localized-string",</v>
      </c>
      <c r="P123" t="str">
        <f t="shared" si="16"/>
        <v>"indent":2,</v>
      </c>
      <c r="Q123" t="str">
        <f t="shared" si="20"/>
        <v>"default_value":"",</v>
      </c>
      <c r="R123" t="str">
        <f t="shared" si="17"/>
        <v>"docs_url":"https://looker.com/docs/r/lookml/types/measure/group_label?version=7.14&amp;lookml=new",</v>
      </c>
      <c r="S123" t="str">
        <f t="shared" si="18"/>
        <v>"has_allowed_values":False,</v>
      </c>
      <c r="T123" t="str">
        <f t="shared" si="19"/>
        <v>"allowed_values":""</v>
      </c>
    </row>
    <row r="124" spans="1:20" ht="13" hidden="1" x14ac:dyDescent="0.15">
      <c r="A124" s="7">
        <v>133</v>
      </c>
      <c r="B124" s="6" t="s">
        <v>19</v>
      </c>
      <c r="C124" s="6" t="s">
        <v>61</v>
      </c>
      <c r="D124" s="4" t="s">
        <v>29</v>
      </c>
      <c r="E124" s="4" t="s">
        <v>0</v>
      </c>
      <c r="F124" s="4">
        <v>2</v>
      </c>
      <c r="G124" s="4" t="s">
        <v>591</v>
      </c>
      <c r="H124" s="4" t="s">
        <v>259</v>
      </c>
      <c r="I124" s="4" t="b">
        <v>0</v>
      </c>
      <c r="K124" s="4" t="b">
        <f>IF(COUNTIF($B$2:$B124,B124)&gt;1,TRUE,FALSE)</f>
        <v>1</v>
      </c>
      <c r="L124" t="str">
        <f t="shared" si="11"/>
        <v>p["group_item_label"].update({"measure":{"type":"string","subtype":"possibly-localized-string","indent":2,"default_value":"","docs_url":"https://looker.com/docs/r/lookml/types/measure/group_item_label?version=7.14&amp;lookml=new","has_allowed_values":False,"allowed_values":""}})</v>
      </c>
      <c r="M124" t="str">
        <f t="shared" si="12"/>
        <v>{"group_item_label":{"measure":{"type":"string","subtype":"possibly-localized-string","indent":2,"default_value":"","docs_url":"https://looker.com/docs/r/lookml/types/measure/group_item_label?version=7.14&amp;lookml=new","has_allowed_values":False,"allowed_values":""}}}</v>
      </c>
      <c r="N124" t="str">
        <f t="shared" si="14"/>
        <v>"type":"string",</v>
      </c>
      <c r="O124" t="str">
        <f t="shared" si="15"/>
        <v>"subtype":"possibly-localized-string",</v>
      </c>
      <c r="P124" t="str">
        <f t="shared" si="16"/>
        <v>"indent":2,</v>
      </c>
      <c r="Q124" t="str">
        <f t="shared" si="20"/>
        <v>"default_value":"",</v>
      </c>
      <c r="R124" t="str">
        <f t="shared" si="17"/>
        <v>"docs_url":"https://looker.com/docs/r/lookml/types/measure/group_item_label?version=7.14&amp;lookml=new",</v>
      </c>
      <c r="S124" t="str">
        <f t="shared" si="18"/>
        <v>"has_allowed_values":False,</v>
      </c>
      <c r="T124" t="str">
        <f t="shared" si="19"/>
        <v>"allowed_values":""</v>
      </c>
    </row>
    <row r="125" spans="1:20" ht="13" hidden="1" x14ac:dyDescent="0.15">
      <c r="A125" s="7">
        <v>134</v>
      </c>
      <c r="B125" s="6" t="s">
        <v>22</v>
      </c>
      <c r="C125" s="6" t="s">
        <v>61</v>
      </c>
      <c r="D125" s="4" t="s">
        <v>612</v>
      </c>
      <c r="E125" s="4" t="s">
        <v>22</v>
      </c>
      <c r="F125" s="4">
        <v>2</v>
      </c>
      <c r="G125" s="4" t="s">
        <v>591</v>
      </c>
      <c r="H125" s="4" t="s">
        <v>260</v>
      </c>
      <c r="I125" s="4" t="b">
        <v>0</v>
      </c>
      <c r="K125" s="4" t="b">
        <f>IF(COUNTIF($B$2:$B125,B125)&gt;1,TRUE,FALSE)</f>
        <v>1</v>
      </c>
      <c r="L125" t="str">
        <f t="shared" si="11"/>
        <v>p["html"].update({"measure":{"type":"html","subtype":"html-block ","indent":2,"default_value":"","docs_url":"https://looker.com/docs/r/lookml/types/measure/html?version=7.14&amp;lookml=new","has_allowed_values":False,"allowed_values":""}})</v>
      </c>
      <c r="M125" t="str">
        <f t="shared" si="12"/>
        <v>{"html":{"measure":{"type":"html","subtype":"html-block ","indent":2,"default_value":"","docs_url":"https://looker.com/docs/r/lookml/types/measure/html?version=7.14&amp;lookml=new","has_allowed_values":False,"allowed_values":""}}}</v>
      </c>
      <c r="N125" t="str">
        <f t="shared" si="14"/>
        <v>"type":"html",</v>
      </c>
      <c r="O125" t="str">
        <f t="shared" si="15"/>
        <v>"subtype":"html-block ",</v>
      </c>
      <c r="P125" t="str">
        <f t="shared" si="16"/>
        <v>"indent":2,</v>
      </c>
      <c r="Q125" t="str">
        <f t="shared" si="20"/>
        <v>"default_value":"",</v>
      </c>
      <c r="R125" t="str">
        <f t="shared" si="17"/>
        <v>"docs_url":"https://looker.com/docs/r/lookml/types/measure/html?version=7.14&amp;lookml=new",</v>
      </c>
      <c r="S125" t="str">
        <f t="shared" si="18"/>
        <v>"has_allowed_values":False,</v>
      </c>
      <c r="T125" t="str">
        <f t="shared" si="19"/>
        <v>"allowed_values":""</v>
      </c>
    </row>
    <row r="126" spans="1:20" ht="13" hidden="1" x14ac:dyDescent="0.15">
      <c r="A126" s="7">
        <v>135</v>
      </c>
      <c r="B126" s="6" t="s">
        <v>24</v>
      </c>
      <c r="C126" s="6" t="s">
        <v>61</v>
      </c>
      <c r="D126" s="4" t="s">
        <v>17</v>
      </c>
      <c r="E126" s="1" t="s">
        <v>598</v>
      </c>
      <c r="F126" s="4">
        <v>2</v>
      </c>
      <c r="H126" s="4" t="s">
        <v>261</v>
      </c>
      <c r="I126" s="4" t="b">
        <v>0</v>
      </c>
      <c r="K126" s="4" t="b">
        <f>IF(COUNTIF($B$2:$B126,B126)&gt;1,TRUE,FALSE)</f>
        <v>1</v>
      </c>
      <c r="L126" t="str">
        <f t="shared" si="11"/>
        <v>p["label_from_parameter"].update({"measure":{"type":"string_unquoted","subtype":"field-ref","indent":2,"default_value":"","docs_url":"https://looker.com/docs/r/lookml/types/measure/label_from_parameter?version=7.14&amp;lookml=new","has_allowed_values":False,"allowed_values":""}})</v>
      </c>
      <c r="M126" t="str">
        <f t="shared" si="12"/>
        <v>{"label_from_parameter":{"measure":{"type":"string_unquoted","subtype":"field-ref","indent":2,"default_value":"","docs_url":"https://looker.com/docs/r/lookml/types/measure/label_from_parameter?version=7.14&amp;lookml=new","has_allowed_values":False,"allowed_values":""}}}</v>
      </c>
      <c r="N126" t="str">
        <f t="shared" si="14"/>
        <v>"type":"string_unquoted",</v>
      </c>
      <c r="O126" t="str">
        <f t="shared" si="15"/>
        <v>"subtype":"field-ref",</v>
      </c>
      <c r="P126" t="str">
        <f t="shared" si="16"/>
        <v>"indent":2,</v>
      </c>
      <c r="Q126" t="str">
        <f t="shared" si="20"/>
        <v>"default_value":"",</v>
      </c>
      <c r="R126" t="str">
        <f t="shared" si="17"/>
        <v>"docs_url":"https://looker.com/docs/r/lookml/types/measure/label_from_parameter?version=7.14&amp;lookml=new",</v>
      </c>
      <c r="S126" t="str">
        <f t="shared" si="18"/>
        <v>"has_allowed_values":False,</v>
      </c>
      <c r="T126" t="str">
        <f t="shared" si="19"/>
        <v>"allowed_values":""</v>
      </c>
    </row>
    <row r="127" spans="1:20" ht="13" hidden="1" x14ac:dyDescent="0.15">
      <c r="A127" s="7">
        <v>136</v>
      </c>
      <c r="B127" s="6" t="s">
        <v>25</v>
      </c>
      <c r="C127" s="6" t="s">
        <v>61</v>
      </c>
      <c r="D127" s="4" t="s">
        <v>540</v>
      </c>
      <c r="E127" s="4" t="s">
        <v>540</v>
      </c>
      <c r="F127" s="4">
        <v>2</v>
      </c>
      <c r="H127" s="4" t="s">
        <v>262</v>
      </c>
      <c r="I127" s="4" t="b">
        <v>0</v>
      </c>
      <c r="K127" s="4" t="b">
        <f>IF(COUNTIF($B$2:$B127,B127)&gt;1,TRUE,FALSE)</f>
        <v>1</v>
      </c>
      <c r="L127" t="str">
        <f t="shared" si="11"/>
        <v>p["link"].update({"measure":{"type":"anonymous_construct_plural","subtype":"anonymous_construct_plural","indent":2,"default_value":"","docs_url":"https://looker.com/docs/r/lookml/types/measure/link?version=7.14&amp;lookml=new","has_allowed_values":False,"allowed_values":""}})</v>
      </c>
      <c r="M127" t="str">
        <f t="shared" si="12"/>
        <v>{"link":{"measure":{"type":"anonymous_construct_plural","subtype":"anonymous_construct_plural","indent":2,"default_value":"","docs_url":"https://looker.com/docs/r/lookml/types/measure/link?version=7.14&amp;lookml=new","has_allowed_values":False,"allowed_values":""}}}</v>
      </c>
      <c r="N127" t="str">
        <f t="shared" si="14"/>
        <v>"type":"anonymous_construct_plural",</v>
      </c>
      <c r="O127" t="str">
        <f t="shared" si="15"/>
        <v>"subtype":"anonymous_construct_plural",</v>
      </c>
      <c r="P127" t="str">
        <f t="shared" si="16"/>
        <v>"indent":2,</v>
      </c>
      <c r="Q127" t="str">
        <f t="shared" si="20"/>
        <v>"default_value":"",</v>
      </c>
      <c r="R127" t="str">
        <f t="shared" si="17"/>
        <v>"docs_url":"https://looker.com/docs/r/lookml/types/measure/link?version=7.14&amp;lookml=new",</v>
      </c>
      <c r="S127" t="str">
        <f t="shared" si="18"/>
        <v>"has_allowed_values":False,</v>
      </c>
      <c r="T127" t="str">
        <f t="shared" si="19"/>
        <v>"allowed_values":""</v>
      </c>
    </row>
    <row r="128" spans="1:20" ht="13" hidden="1" x14ac:dyDescent="0.15">
      <c r="A128" s="7">
        <v>137</v>
      </c>
      <c r="B128" s="6" t="s">
        <v>60</v>
      </c>
      <c r="C128" s="6" t="s">
        <v>61</v>
      </c>
      <c r="D128" s="4" t="s">
        <v>17</v>
      </c>
      <c r="E128" s="1" t="s">
        <v>598</v>
      </c>
      <c r="F128" s="4">
        <v>2</v>
      </c>
      <c r="H128" s="4" t="s">
        <v>263</v>
      </c>
      <c r="I128" s="4" t="b">
        <v>0</v>
      </c>
      <c r="K128" s="4" t="b">
        <f>IF(COUNTIF($B$2:$B128,B128)&gt;1,TRUE,FALSE)</f>
        <v>0</v>
      </c>
      <c r="L128" t="str">
        <f t="shared" si="11"/>
        <v>p.update({"list_field":{"measure":{"type":"string_unquoted","subtype":"field-ref","indent":2,"default_value":"","docs_url":"https://looker.com/docs/r/lookml/types/measure/list_field?version=7.14&amp;lookml=new","has_allowed_values":False,"allowed_values":""}}})</v>
      </c>
      <c r="M128" t="str">
        <f t="shared" si="12"/>
        <v>{"list_field":{"measure":{"type":"string_unquoted","subtype":"field-ref","indent":2,"default_value":"","docs_url":"https://looker.com/docs/r/lookml/types/measure/list_field?version=7.14&amp;lookml=new","has_allowed_values":False,"allowed_values":""}}}</v>
      </c>
      <c r="N128" t="str">
        <f t="shared" si="14"/>
        <v>"type":"string_unquoted",</v>
      </c>
      <c r="O128" t="str">
        <f t="shared" si="15"/>
        <v>"subtype":"field-ref",</v>
      </c>
      <c r="P128" t="str">
        <f t="shared" si="16"/>
        <v>"indent":2,</v>
      </c>
      <c r="Q128" t="str">
        <f t="shared" si="20"/>
        <v>"default_value":"",</v>
      </c>
      <c r="R128" t="str">
        <f t="shared" si="17"/>
        <v>"docs_url":"https://looker.com/docs/r/lookml/types/measure/list_field?version=7.14&amp;lookml=new",</v>
      </c>
      <c r="S128" t="str">
        <f t="shared" si="18"/>
        <v>"has_allowed_values":False,</v>
      </c>
      <c r="T128" t="str">
        <f t="shared" si="19"/>
        <v>"allowed_values":""</v>
      </c>
    </row>
    <row r="129" spans="1:20" ht="13" hidden="1" x14ac:dyDescent="0.15">
      <c r="A129" s="7">
        <v>138</v>
      </c>
      <c r="B129" s="6" t="s">
        <v>28</v>
      </c>
      <c r="C129" s="6" t="s">
        <v>61</v>
      </c>
      <c r="D129" s="4" t="s">
        <v>17</v>
      </c>
      <c r="E129" s="1" t="s">
        <v>598</v>
      </c>
      <c r="F129" s="4">
        <v>2</v>
      </c>
      <c r="H129" s="4" t="s">
        <v>264</v>
      </c>
      <c r="I129" s="4" t="b">
        <v>0</v>
      </c>
      <c r="K129" s="4" t="b">
        <f>IF(COUNTIF($B$2:$B129,B129)&gt;1,TRUE,FALSE)</f>
        <v>1</v>
      </c>
      <c r="L129" t="str">
        <f t="shared" si="11"/>
        <v>p["order_by_field"].update({"measure":{"type":"string_unquoted","subtype":"field-ref","indent":2,"default_value":"","docs_url":"https://looker.com/docs/r/lookml/types/measure/order_by_field?version=7.14&amp;lookml=new","has_allowed_values":False,"allowed_values":""}})</v>
      </c>
      <c r="M129" t="str">
        <f t="shared" si="12"/>
        <v>{"order_by_field":{"measure":{"type":"string_unquoted","subtype":"field-ref","indent":2,"default_value":"","docs_url":"https://looker.com/docs/r/lookml/types/measure/order_by_field?version=7.14&amp;lookml=new","has_allowed_values":False,"allowed_values":""}}}</v>
      </c>
      <c r="N129" t="str">
        <f t="shared" si="14"/>
        <v>"type":"string_unquoted",</v>
      </c>
      <c r="O129" t="str">
        <f t="shared" si="15"/>
        <v>"subtype":"field-ref",</v>
      </c>
      <c r="P129" t="str">
        <f t="shared" si="16"/>
        <v>"indent":2,</v>
      </c>
      <c r="Q129" t="str">
        <f t="shared" si="20"/>
        <v>"default_value":"",</v>
      </c>
      <c r="R129" t="str">
        <f t="shared" si="17"/>
        <v>"docs_url":"https://looker.com/docs/r/lookml/types/measure/order_by_field?version=7.14&amp;lookml=new",</v>
      </c>
      <c r="S129" t="str">
        <f t="shared" si="18"/>
        <v>"has_allowed_values":False,</v>
      </c>
      <c r="T129" t="str">
        <f t="shared" si="19"/>
        <v>"allowed_values":""</v>
      </c>
    </row>
    <row r="130" spans="1:20" ht="13" hidden="1" x14ac:dyDescent="0.15">
      <c r="A130" s="7">
        <v>139</v>
      </c>
      <c r="B130" s="6" t="s">
        <v>63</v>
      </c>
      <c r="C130" s="6" t="s">
        <v>61</v>
      </c>
      <c r="D130" s="4" t="s">
        <v>62</v>
      </c>
      <c r="E130" s="4" t="s">
        <v>598</v>
      </c>
      <c r="F130" s="4">
        <v>2</v>
      </c>
      <c r="G130" s="4">
        <v>75</v>
      </c>
      <c r="H130" s="4" t="s">
        <v>265</v>
      </c>
      <c r="I130" s="4" t="b">
        <v>0</v>
      </c>
      <c r="K130" s="4" t="b">
        <f>IF(COUNTIF($B$2:$B130,B130)&gt;1,TRUE,FALSE)</f>
        <v>0</v>
      </c>
      <c r="L130" t="str">
        <f t="shared" ref="L130:L193" si="21">IF(
K130,"p["""&amp;B130&amp;"""].update({"&amp;""""&amp;C130&amp;""":{"&amp;_xlfn.CONCAT(N130:T130)&amp;"}})","p.update("&amp;M130&amp;")"
)</f>
        <v>p.update({"percentile":{"measure":{"type":"string_unquoted","subtype":"number","indent":2,"default_value":"75","docs_url":"https://looker.com/docs/r/lookml/types/measure/percentile?version=7.14&amp;lookml=new","has_allowed_values":False,"allowed_values":""}}})</v>
      </c>
      <c r="M130" t="str">
        <f t="shared" ref="M130:M193" si="22">"{"&amp;""""&amp;B130
&amp;""":{"&amp;""""&amp;C130&amp;""":{"&amp;_xlfn.CONCAT(N130:T130)&amp;"}}}"</f>
        <v>{"percentile":{"measure":{"type":"string_unquoted","subtype":"number","indent":2,"default_value":"75","docs_url":"https://looker.com/docs/r/lookml/types/measure/percentile?version=7.14&amp;lookml=new","has_allowed_values":False,"allowed_values":""}}}</v>
      </c>
      <c r="N130" t="str">
        <f t="shared" si="14"/>
        <v>"type":"string_unquoted",</v>
      </c>
      <c r="O130" t="str">
        <f t="shared" si="15"/>
        <v>"subtype":"number",</v>
      </c>
      <c r="P130" t="str">
        <f t="shared" si="16"/>
        <v>"indent":2,</v>
      </c>
      <c r="Q130" t="str">
        <f t="shared" si="20"/>
        <v>"default_value":"75",</v>
      </c>
      <c r="R130" t="str">
        <f t="shared" si="17"/>
        <v>"docs_url":"https://looker.com/docs/r/lookml/types/measure/percentile?version=7.14&amp;lookml=new",</v>
      </c>
      <c r="S130" t="str">
        <f t="shared" si="18"/>
        <v>"has_allowed_values":False,</v>
      </c>
      <c r="T130" t="str">
        <f t="shared" si="19"/>
        <v>"allowed_values":""</v>
      </c>
    </row>
    <row r="131" spans="1:20" ht="13" hidden="1" x14ac:dyDescent="0.15">
      <c r="A131" s="7">
        <v>140</v>
      </c>
      <c r="B131" s="6" t="s">
        <v>64</v>
      </c>
      <c r="C131" s="6" t="s">
        <v>61</v>
      </c>
      <c r="D131" s="4" t="s">
        <v>62</v>
      </c>
      <c r="E131" s="4" t="s">
        <v>598</v>
      </c>
      <c r="F131" s="4">
        <v>2</v>
      </c>
      <c r="G131" s="4">
        <v>6</v>
      </c>
      <c r="H131" s="4" t="s">
        <v>266</v>
      </c>
      <c r="I131" s="4" t="b">
        <v>0</v>
      </c>
      <c r="K131" s="4" t="b">
        <f>IF(COUNTIF($B$2:$B131,B131)&gt;1,TRUE,FALSE)</f>
        <v>0</v>
      </c>
      <c r="L131" t="str">
        <f t="shared" si="21"/>
        <v>p.update({"precision":{"measure":{"type":"string_unquoted","subtype":"number","indent":2,"default_value":"6","docs_url":"https://looker.com/docs/r/lookml/types/measure/precision?version=7.14&amp;lookml=new","has_allowed_values":False,"allowed_values":""}}})</v>
      </c>
      <c r="M131" t="str">
        <f t="shared" si="22"/>
        <v>{"precision":{"measure":{"type":"string_unquoted","subtype":"number","indent":2,"default_value":"6","docs_url":"https://looker.com/docs/r/lookml/types/measure/precision?version=7.14&amp;lookml=new","has_allowed_values":False,"allowed_values":""}}}</v>
      </c>
      <c r="N131" t="str">
        <f t="shared" ref="N131:N194" si="23">"""type"":"&amp;""""&amp;E131&amp;""","</f>
        <v>"type":"string_unquoted",</v>
      </c>
      <c r="O131" t="str">
        <f t="shared" ref="O131:O194" si="24">"""subtype"":"&amp;""""&amp;D131&amp;""","</f>
        <v>"subtype":"number",</v>
      </c>
      <c r="P131" t="str">
        <f t="shared" ref="P131:P194" si="25">"""indent"":"&amp;F131&amp;","</f>
        <v>"indent":2,</v>
      </c>
      <c r="Q131" t="str">
        <f t="shared" si="20"/>
        <v>"default_value":"6",</v>
      </c>
      <c r="R131" t="str">
        <f t="shared" ref="R131:R194" si="26">"""docs_url"":"&amp;""""&amp;H131&amp;""","</f>
        <v>"docs_url":"https://looker.com/docs/r/lookml/types/measure/precision?version=7.14&amp;lookml=new",</v>
      </c>
      <c r="S131" t="str">
        <f t="shared" ref="S131:S194" si="27">"""has_allowed_values"":"&amp;IF(I131,"True,","False"&amp;",")</f>
        <v>"has_allowed_values":False,</v>
      </c>
      <c r="T131" t="str">
        <f t="shared" ref="T131:T194" si="28">"""allowed_values"":"&amp;IF(J131&lt;&gt;"",J131,"""""")</f>
        <v>"allowed_values":""</v>
      </c>
    </row>
    <row r="132" spans="1:20" ht="13" hidden="1" x14ac:dyDescent="0.15">
      <c r="A132" s="7">
        <v>141</v>
      </c>
      <c r="B132" s="6" t="s">
        <v>32</v>
      </c>
      <c r="C132" s="6" t="s">
        <v>61</v>
      </c>
      <c r="D132" s="4" t="s">
        <v>17</v>
      </c>
      <c r="E132" s="4" t="s">
        <v>595</v>
      </c>
      <c r="F132" s="4">
        <v>2</v>
      </c>
      <c r="H132" s="4" t="s">
        <v>267</v>
      </c>
      <c r="I132" s="4" t="b">
        <v>0</v>
      </c>
      <c r="K132" s="4" t="b">
        <f>IF(COUNTIF($B$2:$B132,B132)&gt;1,TRUE,FALSE)</f>
        <v>1</v>
      </c>
      <c r="L132" t="str">
        <f t="shared" si="21"/>
        <v>p["required_fields"].update({"measure":{"type":"list_unquoted","subtype":"field-ref","indent":2,"default_value":"","docs_url":"https://looker.com/docs/r/lookml/types/measure/required_fields?version=7.14&amp;lookml=new","has_allowed_values":False,"allowed_values":""}})</v>
      </c>
      <c r="M132" t="str">
        <f t="shared" si="22"/>
        <v>{"required_fields":{"measure":{"type":"list_unquoted","subtype":"field-ref","indent":2,"default_value":"","docs_url":"https://looker.com/docs/r/lookml/types/measure/required_fields?version=7.14&amp;lookml=new","has_allowed_values":False,"allowed_values":""}}}</v>
      </c>
      <c r="N132" t="str">
        <f t="shared" si="23"/>
        <v>"type":"list_unquoted",</v>
      </c>
      <c r="O132" t="str">
        <f t="shared" si="24"/>
        <v>"subtype":"field-ref",</v>
      </c>
      <c r="P132" t="str">
        <f t="shared" si="25"/>
        <v>"indent":2,</v>
      </c>
      <c r="Q132" t="str">
        <f t="shared" si="20"/>
        <v>"default_value":"",</v>
      </c>
      <c r="R132" t="str">
        <f t="shared" si="26"/>
        <v>"docs_url":"https://looker.com/docs/r/lookml/types/measure/required_fields?version=7.14&amp;lookml=new",</v>
      </c>
      <c r="S132" t="str">
        <f t="shared" si="27"/>
        <v>"has_allowed_values":False,</v>
      </c>
      <c r="T132" t="str">
        <f t="shared" si="28"/>
        <v>"allowed_values":""</v>
      </c>
    </row>
    <row r="133" spans="1:20" ht="13" hidden="1" x14ac:dyDescent="0.15">
      <c r="A133" s="7">
        <v>142</v>
      </c>
      <c r="B133" s="6" t="s">
        <v>34</v>
      </c>
      <c r="C133" s="6" t="s">
        <v>61</v>
      </c>
      <c r="D133" s="4" t="s">
        <v>611</v>
      </c>
      <c r="E133" s="4" t="s">
        <v>34</v>
      </c>
      <c r="F133" s="4">
        <v>2</v>
      </c>
      <c r="G133" s="4" t="s">
        <v>591</v>
      </c>
      <c r="H133" s="4" t="s">
        <v>268</v>
      </c>
      <c r="I133" s="4" t="b">
        <v>0</v>
      </c>
      <c r="K133" s="4" t="b">
        <f>IF(COUNTIF($B$2:$B133,B133)&gt;1,TRUE,FALSE)</f>
        <v>1</v>
      </c>
      <c r="L133" t="str">
        <f t="shared" si="21"/>
        <v>p["sql"].update({"measure":{"type":"sql","subtype":"sql-block ","indent":2,"default_value":"","docs_url":"https://looker.com/docs/r/lookml/types/measure/sql?version=7.14&amp;lookml=new","has_allowed_values":False,"allowed_values":""}})</v>
      </c>
      <c r="M133" t="str">
        <f t="shared" si="22"/>
        <v>{"sql":{"measure":{"type":"sql","subtype":"sql-block ","indent":2,"default_value":"","docs_url":"https://looker.com/docs/r/lookml/types/measure/sql?version=7.14&amp;lookml=new","has_allowed_values":False,"allowed_values":""}}}</v>
      </c>
      <c r="N133" t="str">
        <f t="shared" si="23"/>
        <v>"type":"sql",</v>
      </c>
      <c r="O133" t="str">
        <f t="shared" si="24"/>
        <v>"subtype":"sql-block ",</v>
      </c>
      <c r="P133" t="str">
        <f t="shared" si="25"/>
        <v>"indent":2,</v>
      </c>
      <c r="Q133" t="str">
        <f t="shared" si="20"/>
        <v>"default_value":"",</v>
      </c>
      <c r="R133" t="str">
        <f t="shared" si="26"/>
        <v>"docs_url":"https://looker.com/docs/r/lookml/types/measure/sql?version=7.14&amp;lookml=new",</v>
      </c>
      <c r="S133" t="str">
        <f t="shared" si="27"/>
        <v>"has_allowed_values":False,</v>
      </c>
      <c r="T133" t="str">
        <f t="shared" si="28"/>
        <v>"allowed_values":""</v>
      </c>
    </row>
    <row r="134" spans="1:20" ht="13" hidden="1" x14ac:dyDescent="0.15">
      <c r="A134" s="7">
        <v>143</v>
      </c>
      <c r="B134" s="6" t="s">
        <v>65</v>
      </c>
      <c r="C134" s="6" t="s">
        <v>61</v>
      </c>
      <c r="D134" s="4" t="s">
        <v>611</v>
      </c>
      <c r="E134" s="4" t="s">
        <v>34</v>
      </c>
      <c r="F134" s="4">
        <v>2</v>
      </c>
      <c r="G134" s="4" t="s">
        <v>591</v>
      </c>
      <c r="H134" s="4" t="s">
        <v>269</v>
      </c>
      <c r="I134" s="4" t="b">
        <v>0</v>
      </c>
      <c r="K134" s="4" t="b">
        <f>IF(COUNTIF($B$2:$B134,B134)&gt;1,TRUE,FALSE)</f>
        <v>0</v>
      </c>
      <c r="L134" t="str">
        <f t="shared" si="21"/>
        <v>p.update({"sql_distinct_key":{"measure":{"type":"sql","subtype":"sql-block ","indent":2,"default_value":"","docs_url":"https://looker.com/docs/r/lookml/types/measure/sql_distinct_key?version=7.14&amp;lookml=new","has_allowed_values":False,"allowed_values":""}}})</v>
      </c>
      <c r="M134" t="str">
        <f t="shared" si="22"/>
        <v>{"sql_distinct_key":{"measure":{"type":"sql","subtype":"sql-block ","indent":2,"default_value":"","docs_url":"https://looker.com/docs/r/lookml/types/measure/sql_distinct_key?version=7.14&amp;lookml=new","has_allowed_values":False,"allowed_values":""}}}</v>
      </c>
      <c r="N134" t="str">
        <f t="shared" si="23"/>
        <v>"type":"sql",</v>
      </c>
      <c r="O134" t="str">
        <f t="shared" si="24"/>
        <v>"subtype":"sql-block ",</v>
      </c>
      <c r="P134" t="str">
        <f t="shared" si="25"/>
        <v>"indent":2,</v>
      </c>
      <c r="Q134" t="str">
        <f t="shared" si="20"/>
        <v>"default_value":"",</v>
      </c>
      <c r="R134" t="str">
        <f t="shared" si="26"/>
        <v>"docs_url":"https://looker.com/docs/r/lookml/types/measure/sql_distinct_key?version=7.14&amp;lookml=new",</v>
      </c>
      <c r="S134" t="str">
        <f t="shared" si="27"/>
        <v>"has_allowed_values":False,</v>
      </c>
      <c r="T134" t="str">
        <f t="shared" si="28"/>
        <v>"allowed_values":""</v>
      </c>
    </row>
    <row r="135" spans="1:20" ht="13" hidden="1" x14ac:dyDescent="0.15">
      <c r="A135" s="7">
        <v>144</v>
      </c>
      <c r="B135" s="6" t="s">
        <v>52</v>
      </c>
      <c r="C135" s="6" t="s">
        <v>61</v>
      </c>
      <c r="D135" s="4" t="s">
        <v>0</v>
      </c>
      <c r="E135" s="4" t="s">
        <v>0</v>
      </c>
      <c r="F135" s="4">
        <v>2</v>
      </c>
      <c r="G135" s="4" t="s">
        <v>591</v>
      </c>
      <c r="H135" s="4" t="s">
        <v>270</v>
      </c>
      <c r="I135" s="4" t="b">
        <v>0</v>
      </c>
      <c r="K135" s="4" t="b">
        <f>IF(COUNTIF($B$2:$B135,B135)&gt;1,TRUE,FALSE)</f>
        <v>1</v>
      </c>
      <c r="L135" t="str">
        <f t="shared" si="21"/>
        <v>p["value_format"].update({"measure":{"type":"string","subtype":"string","indent":2,"default_value":"","docs_url":"https://looker.com/docs/r/lookml/types/measure/value_format?version=7.14&amp;lookml=new","has_allowed_values":False,"allowed_values":""}})</v>
      </c>
      <c r="M135" t="str">
        <f t="shared" si="22"/>
        <v>{"value_format":{"measure":{"type":"string","subtype":"string","indent":2,"default_value":"","docs_url":"https://looker.com/docs/r/lookml/types/measure/value_format?version=7.14&amp;lookml=new","has_allowed_values":False,"allowed_values":""}}}</v>
      </c>
      <c r="N135" t="str">
        <f t="shared" si="23"/>
        <v>"type":"string",</v>
      </c>
      <c r="O135" t="str">
        <f t="shared" si="24"/>
        <v>"subtype":"string",</v>
      </c>
      <c r="P135" t="str">
        <f t="shared" si="25"/>
        <v>"indent":2,</v>
      </c>
      <c r="Q135" t="str">
        <f t="shared" si="20"/>
        <v>"default_value":"",</v>
      </c>
      <c r="R135" t="str">
        <f t="shared" si="26"/>
        <v>"docs_url":"https://looker.com/docs/r/lookml/types/measure/value_format?version=7.14&amp;lookml=new",</v>
      </c>
      <c r="S135" t="str">
        <f t="shared" si="27"/>
        <v>"has_allowed_values":False,</v>
      </c>
      <c r="T135" t="str">
        <f t="shared" si="28"/>
        <v>"allowed_values":""</v>
      </c>
    </row>
    <row r="136" spans="1:20" ht="13" hidden="1" x14ac:dyDescent="0.15">
      <c r="A136" s="7">
        <v>145</v>
      </c>
      <c r="B136" s="6" t="s">
        <v>53</v>
      </c>
      <c r="C136" s="6" t="s">
        <v>61</v>
      </c>
      <c r="D136" s="4" t="s">
        <v>51</v>
      </c>
      <c r="E136" s="1" t="s">
        <v>598</v>
      </c>
      <c r="F136" s="4">
        <v>2</v>
      </c>
      <c r="G136" s="4" t="s">
        <v>599</v>
      </c>
      <c r="H136" s="4" t="s">
        <v>271</v>
      </c>
      <c r="I136" s="4" t="b">
        <v>0</v>
      </c>
      <c r="K136" s="4" t="b">
        <f>IF(COUNTIF($B$2:$B136,B136)&gt;1,TRUE,FALSE)</f>
        <v>1</v>
      </c>
      <c r="L136" t="str">
        <f t="shared" si="21"/>
        <v>p["value_format_name"].update({"measure":{"type":"string_unquoted","subtype":"value-format-ref","indent":2,"default_value":"decimal_0","docs_url":"https://looker.com/docs/r/lookml/types/measure/value_format_name?version=7.14&amp;lookml=new","has_allowed_values":False,"allowed_values":""}})</v>
      </c>
      <c r="M136" t="str">
        <f t="shared" si="22"/>
        <v>{"value_format_name":{"measure":{"type":"string_unquoted","subtype":"value-format-ref","indent":2,"default_value":"decimal_0","docs_url":"https://looker.com/docs/r/lookml/types/measure/value_format_name?version=7.14&amp;lookml=new","has_allowed_values":False,"allowed_values":""}}}</v>
      </c>
      <c r="N136" t="str">
        <f t="shared" si="23"/>
        <v>"type":"string_unquoted",</v>
      </c>
      <c r="O136" t="str">
        <f t="shared" si="24"/>
        <v>"subtype":"value-format-ref",</v>
      </c>
      <c r="P136" t="str">
        <f t="shared" si="25"/>
        <v>"indent":2,</v>
      </c>
      <c r="Q136" t="str">
        <f t="shared" si="20"/>
        <v>"default_value":"decimal_0",</v>
      </c>
      <c r="R136" t="str">
        <f t="shared" si="26"/>
        <v>"docs_url":"https://looker.com/docs/r/lookml/types/measure/value_format_name?version=7.14&amp;lookml=new",</v>
      </c>
      <c r="S136" t="str">
        <f t="shared" si="27"/>
        <v>"has_allowed_values":False,</v>
      </c>
      <c r="T136" t="str">
        <f t="shared" si="28"/>
        <v>"allowed_values":""</v>
      </c>
    </row>
    <row r="137" spans="1:20" ht="13" hidden="1" x14ac:dyDescent="0.15">
      <c r="A137" s="7">
        <v>146</v>
      </c>
      <c r="B137" s="6" t="s">
        <v>2</v>
      </c>
      <c r="C137" s="6" t="s">
        <v>61</v>
      </c>
      <c r="D137" s="4" t="s">
        <v>95</v>
      </c>
      <c r="E137" s="4" t="s">
        <v>595</v>
      </c>
      <c r="F137" s="4">
        <v>2</v>
      </c>
      <c r="H137" s="4" t="s">
        <v>272</v>
      </c>
      <c r="I137" s="4" t="b">
        <v>0</v>
      </c>
      <c r="K137" s="4" t="b">
        <f>IF(COUNTIF($B$2:$B137,B137)&gt;1,TRUE,FALSE)</f>
        <v>1</v>
      </c>
      <c r="L137" t="str">
        <f t="shared" si="21"/>
        <v>p["alias"].update({"measure":{"type":"list_unquoted","subtype":"identifier","indent":2,"default_value":"","docs_url":"https://looker.com/docs/r/lookml/types/measure/alias?version=7.14&amp;lookml=new","has_allowed_values":False,"allowed_values":""}})</v>
      </c>
      <c r="M137" t="str">
        <f t="shared" si="22"/>
        <v>{"alias":{"measure":{"type":"list_unquoted","subtype":"identifier","indent":2,"default_value":"","docs_url":"https://looker.com/docs/r/lookml/types/measure/alias?version=7.14&amp;lookml=new","has_allowed_values":False,"allowed_values":""}}}</v>
      </c>
      <c r="N137" t="str">
        <f t="shared" si="23"/>
        <v>"type":"list_unquoted",</v>
      </c>
      <c r="O137" t="str">
        <f t="shared" si="24"/>
        <v>"subtype":"identifier",</v>
      </c>
      <c r="P137" t="str">
        <f t="shared" si="25"/>
        <v>"indent":2,</v>
      </c>
      <c r="Q137" t="str">
        <f t="shared" si="20"/>
        <v>"default_value":"",</v>
      </c>
      <c r="R137" t="str">
        <f t="shared" si="26"/>
        <v>"docs_url":"https://looker.com/docs/r/lookml/types/measure/alias?version=7.14&amp;lookml=new",</v>
      </c>
      <c r="S137" t="str">
        <f t="shared" si="27"/>
        <v>"has_allowed_values":False,</v>
      </c>
      <c r="T137" t="str">
        <f t="shared" si="28"/>
        <v>"allowed_values":""</v>
      </c>
    </row>
    <row r="138" spans="1:20" ht="13" hidden="1" x14ac:dyDescent="0.15">
      <c r="A138" s="7">
        <v>147</v>
      </c>
      <c r="B138" s="6" t="s">
        <v>9</v>
      </c>
      <c r="C138" s="6" t="s">
        <v>61</v>
      </c>
      <c r="D138" s="4" t="s">
        <v>568</v>
      </c>
      <c r="E138" s="4" t="s">
        <v>568</v>
      </c>
      <c r="F138" s="4">
        <v>2</v>
      </c>
      <c r="G138" s="4" t="s">
        <v>604</v>
      </c>
      <c r="H138" s="4" t="s">
        <v>273</v>
      </c>
      <c r="I138" s="4" t="b">
        <v>0</v>
      </c>
      <c r="K138" s="4" t="b">
        <f>IF(COUNTIF($B$2:$B138,B138)&gt;1,TRUE,FALSE)</f>
        <v>1</v>
      </c>
      <c r="L138" t="str">
        <f t="shared" si="21"/>
        <v>p["convert_tz"].update({"measure":{"type":"yesno","subtype":"yesno","indent":2,"default_value":"yes","docs_url":"https://looker.com/docs/r/lookml/types/measure/convert_tz?version=7.14&amp;lookml=new","has_allowed_values":False,"allowed_values":""}})</v>
      </c>
      <c r="M138" t="str">
        <f t="shared" si="22"/>
        <v>{"convert_tz":{"measure":{"type":"yesno","subtype":"yesno","indent":2,"default_value":"yes","docs_url":"https://looker.com/docs/r/lookml/types/measure/convert_tz?version=7.14&amp;lookml=new","has_allowed_values":False,"allowed_values":""}}}</v>
      </c>
      <c r="N138" t="str">
        <f t="shared" si="23"/>
        <v>"type":"yesno",</v>
      </c>
      <c r="O138" t="str">
        <f t="shared" si="24"/>
        <v>"subtype":"yesno",</v>
      </c>
      <c r="P138" t="str">
        <f t="shared" si="25"/>
        <v>"indent":2,</v>
      </c>
      <c r="Q138" t="str">
        <f t="shared" si="20"/>
        <v>"default_value":"yes",</v>
      </c>
      <c r="R138" t="str">
        <f t="shared" si="26"/>
        <v>"docs_url":"https://looker.com/docs/r/lookml/types/measure/convert_tz?version=7.14&amp;lookml=new",</v>
      </c>
      <c r="S138" t="str">
        <f t="shared" si="27"/>
        <v>"has_allowed_values":False,</v>
      </c>
      <c r="T138" t="str">
        <f t="shared" si="28"/>
        <v>"allowed_values":""</v>
      </c>
    </row>
    <row r="139" spans="1:20" ht="13" hidden="1" x14ac:dyDescent="0.15">
      <c r="A139" s="7">
        <v>148</v>
      </c>
      <c r="B139" s="6" t="s">
        <v>11</v>
      </c>
      <c r="C139" s="6" t="s">
        <v>61</v>
      </c>
      <c r="D139" s="4" t="s">
        <v>29</v>
      </c>
      <c r="E139" s="4" t="s">
        <v>0</v>
      </c>
      <c r="F139" s="4">
        <v>2</v>
      </c>
      <c r="G139" s="4" t="s">
        <v>591</v>
      </c>
      <c r="H139" s="4" t="s">
        <v>274</v>
      </c>
      <c r="I139" s="4" t="b">
        <v>0</v>
      </c>
      <c r="K139" s="4" t="b">
        <f>IF(COUNTIF($B$2:$B139,B139)&gt;1,TRUE,FALSE)</f>
        <v>1</v>
      </c>
      <c r="L139" t="str">
        <f t="shared" si="21"/>
        <v>p["description"].update({"measure":{"type":"string","subtype":"possibly-localized-string","indent":2,"default_value":"","docs_url":"https://looker.com/docs/r/lookml/types/measure/description?version=7.14&amp;lookml=new","has_allowed_values":False,"allowed_values":""}})</v>
      </c>
      <c r="M139" t="str">
        <f t="shared" si="22"/>
        <v>{"description":{"measure":{"type":"string","subtype":"possibly-localized-string","indent":2,"default_value":"","docs_url":"https://looker.com/docs/r/lookml/types/measure/description?version=7.14&amp;lookml=new","has_allowed_values":False,"allowed_values":""}}}</v>
      </c>
      <c r="N139" t="str">
        <f t="shared" si="23"/>
        <v>"type":"string",</v>
      </c>
      <c r="O139" t="str">
        <f t="shared" si="24"/>
        <v>"subtype":"possibly-localized-string",</v>
      </c>
      <c r="P139" t="str">
        <f t="shared" si="25"/>
        <v>"indent":2,</v>
      </c>
      <c r="Q139" t="str">
        <f t="shared" si="20"/>
        <v>"default_value":"",</v>
      </c>
      <c r="R139" t="str">
        <f t="shared" si="26"/>
        <v>"docs_url":"https://looker.com/docs/r/lookml/types/measure/description?version=7.14&amp;lookml=new",</v>
      </c>
      <c r="S139" t="str">
        <f t="shared" si="27"/>
        <v>"has_allowed_values":False,</v>
      </c>
      <c r="T139" t="str">
        <f t="shared" si="28"/>
        <v>"allowed_values":""</v>
      </c>
    </row>
    <row r="140" spans="1:20" ht="13" hidden="1" x14ac:dyDescent="0.15">
      <c r="A140" s="7">
        <v>149</v>
      </c>
      <c r="B140" s="6" t="s">
        <v>21</v>
      </c>
      <c r="C140" s="6" t="s">
        <v>61</v>
      </c>
      <c r="D140" s="4" t="s">
        <v>568</v>
      </c>
      <c r="E140" s="4" t="s">
        <v>568</v>
      </c>
      <c r="F140" s="4">
        <v>2</v>
      </c>
      <c r="G140" s="4" t="s">
        <v>603</v>
      </c>
      <c r="H140" s="4" t="s">
        <v>275</v>
      </c>
      <c r="I140" s="4" t="b">
        <v>0</v>
      </c>
      <c r="K140" s="4" t="b">
        <f>IF(COUNTIF($B$2:$B140,B140)&gt;1,TRUE,FALSE)</f>
        <v>1</v>
      </c>
      <c r="L140" t="str">
        <f t="shared" si="21"/>
        <v>p["hidden"].update({"measure":{"type":"yesno","subtype":"yesno","indent":2,"default_value":"no","docs_url":"https://looker.com/docs/r/lookml/types/measure/hidden?version=7.14&amp;lookml=new","has_allowed_values":False,"allowed_values":""}})</v>
      </c>
      <c r="M140" t="str">
        <f t="shared" si="22"/>
        <v>{"hidden":{"measure":{"type":"yesno","subtype":"yesno","indent":2,"default_value":"no","docs_url":"https://looker.com/docs/r/lookml/types/measure/hidden?version=7.14&amp;lookml=new","has_allowed_values":False,"allowed_values":""}}}</v>
      </c>
      <c r="N140" t="str">
        <f t="shared" si="23"/>
        <v>"type":"yesno",</v>
      </c>
      <c r="O140" t="str">
        <f t="shared" si="24"/>
        <v>"subtype":"yesno",</v>
      </c>
      <c r="P140" t="str">
        <f t="shared" si="25"/>
        <v>"indent":2,</v>
      </c>
      <c r="Q140" t="str">
        <f t="shared" ref="Q140:Q203" si="29">"""default_value"":"&amp;IF(G140="""""",""""",",IF(LEFT(G140,1)="[",G140,""""&amp;G140&amp;"""")&amp;",")</f>
        <v>"default_value":"no",</v>
      </c>
      <c r="R140" t="str">
        <f t="shared" si="26"/>
        <v>"docs_url":"https://looker.com/docs/r/lookml/types/measure/hidden?version=7.14&amp;lookml=new",</v>
      </c>
      <c r="S140" t="str">
        <f t="shared" si="27"/>
        <v>"has_allowed_values":False,</v>
      </c>
      <c r="T140" t="str">
        <f t="shared" si="28"/>
        <v>"allowed_values":""</v>
      </c>
    </row>
    <row r="141" spans="1:20" ht="13" hidden="1" x14ac:dyDescent="0.15">
      <c r="A141" s="7">
        <v>150</v>
      </c>
      <c r="B141" s="6" t="s">
        <v>23</v>
      </c>
      <c r="C141" s="6" t="s">
        <v>61</v>
      </c>
      <c r="D141" s="4" t="s">
        <v>29</v>
      </c>
      <c r="E141" s="4" t="s">
        <v>0</v>
      </c>
      <c r="F141" s="4">
        <v>2</v>
      </c>
      <c r="G141" s="4" t="s">
        <v>591</v>
      </c>
      <c r="H141" s="4" t="s">
        <v>276</v>
      </c>
      <c r="I141" s="4" t="b">
        <v>0</v>
      </c>
      <c r="K141" s="4" t="b">
        <f>IF(COUNTIF($B$2:$B141,B141)&gt;1,TRUE,FALSE)</f>
        <v>1</v>
      </c>
      <c r="L141" t="str">
        <f t="shared" si="21"/>
        <v>p["label"].update({"measure":{"type":"string","subtype":"possibly-localized-string","indent":2,"default_value":"","docs_url":"https://looker.com/docs/r/lookml/types/measure/label?version=7.14&amp;lookml=new","has_allowed_values":False,"allowed_values":""}})</v>
      </c>
      <c r="M141" t="str">
        <f t="shared" si="22"/>
        <v>{"label":{"measure":{"type":"string","subtype":"possibly-localized-string","indent":2,"default_value":"","docs_url":"https://looker.com/docs/r/lookml/types/measure/label?version=7.14&amp;lookml=new","has_allowed_values":False,"allowed_values":""}}}</v>
      </c>
      <c r="N141" t="str">
        <f t="shared" si="23"/>
        <v>"type":"string",</v>
      </c>
      <c r="O141" t="str">
        <f t="shared" si="24"/>
        <v>"subtype":"possibly-localized-string",</v>
      </c>
      <c r="P141" t="str">
        <f t="shared" si="25"/>
        <v>"indent":2,</v>
      </c>
      <c r="Q141" t="str">
        <f t="shared" si="29"/>
        <v>"default_value":"",</v>
      </c>
      <c r="R141" t="str">
        <f t="shared" si="26"/>
        <v>"docs_url":"https://looker.com/docs/r/lookml/types/measure/label?version=7.14&amp;lookml=new",</v>
      </c>
      <c r="S141" t="str">
        <f t="shared" si="27"/>
        <v>"has_allowed_values":False,</v>
      </c>
      <c r="T141" t="str">
        <f t="shared" si="28"/>
        <v>"allowed_values":""</v>
      </c>
    </row>
    <row r="142" spans="1:20" ht="13" hidden="1" x14ac:dyDescent="0.15">
      <c r="A142" s="7">
        <v>151</v>
      </c>
      <c r="B142" s="6" t="s">
        <v>31</v>
      </c>
      <c r="C142" s="6" t="s">
        <v>61</v>
      </c>
      <c r="D142" s="4" t="s">
        <v>610</v>
      </c>
      <c r="E142" s="4" t="s">
        <v>595</v>
      </c>
      <c r="F142" s="4">
        <v>2</v>
      </c>
      <c r="H142" s="4" t="s">
        <v>277</v>
      </c>
      <c r="I142" s="4" t="b">
        <v>0</v>
      </c>
      <c r="K142" s="4" t="b">
        <f>IF(COUNTIF($B$2:$B142,B142)&gt;1,TRUE,FALSE)</f>
        <v>1</v>
      </c>
      <c r="L142" t="str">
        <f t="shared" si="21"/>
        <v>p["required_access_grants"].update({"measure":{"type":"list_unquoted","subtype":"access-grant-ref","indent":2,"default_value":"","docs_url":"https://looker.com/docs/r/lookml/types/measure/required_access_grants?version=7.14&amp;lookml=new","has_allowed_values":False,"allowed_values":""}})</v>
      </c>
      <c r="M142" t="str">
        <f t="shared" si="22"/>
        <v>{"required_access_grants":{"measure":{"type":"list_unquoted","subtype":"access-grant-ref","indent":2,"default_value":"","docs_url":"https://looker.com/docs/r/lookml/types/measure/required_access_grants?version=7.14&amp;lookml=new","has_allowed_values":False,"allowed_values":""}}}</v>
      </c>
      <c r="N142" t="str">
        <f t="shared" si="23"/>
        <v>"type":"list_unquoted",</v>
      </c>
      <c r="O142" t="str">
        <f t="shared" si="24"/>
        <v>"subtype":"access-grant-ref",</v>
      </c>
      <c r="P142" t="str">
        <f t="shared" si="25"/>
        <v>"indent":2,</v>
      </c>
      <c r="Q142" t="str">
        <f t="shared" si="29"/>
        <v>"default_value":"",</v>
      </c>
      <c r="R142" t="str">
        <f t="shared" si="26"/>
        <v>"docs_url":"https://looker.com/docs/r/lookml/types/measure/required_access_grants?version=7.14&amp;lookml=new",</v>
      </c>
      <c r="S142" t="str">
        <f t="shared" si="27"/>
        <v>"has_allowed_values":False,</v>
      </c>
      <c r="T142" t="str">
        <f t="shared" si="28"/>
        <v>"allowed_values":""</v>
      </c>
    </row>
    <row r="143" spans="1:20" ht="13" hidden="1" x14ac:dyDescent="0.15">
      <c r="A143" s="7">
        <v>152</v>
      </c>
      <c r="B143" s="6" t="s">
        <v>45</v>
      </c>
      <c r="C143" s="6" t="s">
        <v>61</v>
      </c>
      <c r="D143" s="4" t="s">
        <v>568</v>
      </c>
      <c r="E143" s="4" t="s">
        <v>568</v>
      </c>
      <c r="F143" s="4">
        <v>2</v>
      </c>
      <c r="G143" s="4" t="s">
        <v>604</v>
      </c>
      <c r="H143" s="4" t="s">
        <v>278</v>
      </c>
      <c r="I143" s="4" t="b">
        <v>0</v>
      </c>
      <c r="K143" s="4" t="b">
        <f>IF(COUNTIF($B$2:$B143,B143)&gt;1,TRUE,FALSE)</f>
        <v>1</v>
      </c>
      <c r="L143" t="str">
        <f t="shared" si="21"/>
        <v>p["suggestable"].update({"measure":{"type":"yesno","subtype":"yesno","indent":2,"default_value":"yes","docs_url":"https://looker.com/docs/r/lookml/types/measure/suggestable?version=7.14&amp;lookml=new","has_allowed_values":False,"allowed_values":""}})</v>
      </c>
      <c r="M143" t="str">
        <f t="shared" si="22"/>
        <v>{"suggestable":{"measure":{"type":"yesno","subtype":"yesno","indent":2,"default_value":"yes","docs_url":"https://looker.com/docs/r/lookml/types/measure/suggestable?version=7.14&amp;lookml=new","has_allowed_values":False,"allowed_values":""}}}</v>
      </c>
      <c r="N143" t="str">
        <f t="shared" si="23"/>
        <v>"type":"yesno",</v>
      </c>
      <c r="O143" t="str">
        <f t="shared" si="24"/>
        <v>"subtype":"yesno",</v>
      </c>
      <c r="P143" t="str">
        <f t="shared" si="25"/>
        <v>"indent":2,</v>
      </c>
      <c r="Q143" t="str">
        <f t="shared" si="29"/>
        <v>"default_value":"yes",</v>
      </c>
      <c r="R143" t="str">
        <f t="shared" si="26"/>
        <v>"docs_url":"https://looker.com/docs/r/lookml/types/measure/suggestable?version=7.14&amp;lookml=new",</v>
      </c>
      <c r="S143" t="str">
        <f t="shared" si="27"/>
        <v>"has_allowed_values":False,</v>
      </c>
      <c r="T143" t="str">
        <f t="shared" si="28"/>
        <v>"allowed_values":""</v>
      </c>
    </row>
    <row r="144" spans="1:20" ht="13" hidden="1" x14ac:dyDescent="0.15">
      <c r="A144" s="7">
        <v>153</v>
      </c>
      <c r="B144" s="6" t="s">
        <v>47</v>
      </c>
      <c r="C144" s="6" t="s">
        <v>61</v>
      </c>
      <c r="D144" s="4" t="s">
        <v>597</v>
      </c>
      <c r="E144" s="4" t="s">
        <v>597</v>
      </c>
      <c r="F144" s="4">
        <v>2</v>
      </c>
      <c r="H144" s="4" t="s">
        <v>279</v>
      </c>
      <c r="I144" s="4" t="b">
        <v>0</v>
      </c>
      <c r="K144" s="4" t="b">
        <f>IF(COUNTIF($B$2:$B144,B144)&gt;1,TRUE,FALSE)</f>
        <v>1</v>
      </c>
      <c r="L144" t="str">
        <f t="shared" si="21"/>
        <v>p["tags"].update({"measure":{"type":"list_quoted","subtype":"list_quoted","indent":2,"default_value":"","docs_url":"https://looker.com/docs/r/lookml/types/measure/tags?version=7.14&amp;lookml=new","has_allowed_values":False,"allowed_values":""}})</v>
      </c>
      <c r="M144" t="str">
        <f t="shared" si="22"/>
        <v>{"tags":{"measure":{"type":"list_quoted","subtype":"list_quoted","indent":2,"default_value":"","docs_url":"https://looker.com/docs/r/lookml/types/measure/tags?version=7.14&amp;lookml=new","has_allowed_values":False,"allowed_values":""}}}</v>
      </c>
      <c r="N144" t="str">
        <f t="shared" si="23"/>
        <v>"type":"list_quoted",</v>
      </c>
      <c r="O144" t="str">
        <f t="shared" si="24"/>
        <v>"subtype":"list_quoted",</v>
      </c>
      <c r="P144" t="str">
        <f t="shared" si="25"/>
        <v>"indent":2,</v>
      </c>
      <c r="Q144" t="str">
        <f t="shared" si="29"/>
        <v>"default_value":"",</v>
      </c>
      <c r="R144" t="str">
        <f t="shared" si="26"/>
        <v>"docs_url":"https://looker.com/docs/r/lookml/types/measure/tags?version=7.14&amp;lookml=new",</v>
      </c>
      <c r="S144" t="str">
        <f t="shared" si="27"/>
        <v>"has_allowed_values":False,</v>
      </c>
      <c r="T144" t="str">
        <f t="shared" si="28"/>
        <v>"allowed_values":""</v>
      </c>
    </row>
    <row r="145" spans="1:20" ht="13" hidden="1" x14ac:dyDescent="0.15">
      <c r="A145" s="7">
        <v>154</v>
      </c>
      <c r="B145" s="6" t="s">
        <v>49</v>
      </c>
      <c r="C145" s="6" t="s">
        <v>61</v>
      </c>
      <c r="D145" s="4" t="s">
        <v>550</v>
      </c>
      <c r="E145" s="4" t="s">
        <v>550</v>
      </c>
      <c r="F145" s="4">
        <v>2</v>
      </c>
      <c r="G145" s="4" t="s">
        <v>571</v>
      </c>
      <c r="H145" s="4" t="s">
        <v>280</v>
      </c>
      <c r="I145" s="4" t="b">
        <v>1</v>
      </c>
      <c r="J145" s="4" t="s">
        <v>570</v>
      </c>
      <c r="K145" s="4" t="b">
        <f>IF(COUNTIF($B$2:$B145,B145)&gt;1,TRUE,FALSE)</f>
        <v>1</v>
      </c>
      <c r="L145" t="str">
        <f t="shared" si="21"/>
        <v>p["type"].update({"measure":{"type":"options","subtype":"options","indent":2,"default_value":"count","docs_url":"https://looker.com/docs/r/lookml/types/measure/type?version=7.14&amp;lookml=new","has_allowed_values":True,"allowed_values":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}})</v>
      </c>
      <c r="M145" t="str">
        <f t="shared" si="22"/>
        <v>{"type":{"measure":{"type":"options","subtype":"options","indent":2,"default_value":"count","docs_url":"https://looker.com/docs/r/lookml/types/measure/type?version=7.14&amp;lookml=new","has_allowed_values":True,"allowed_values":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}}}</v>
      </c>
      <c r="N145" t="str">
        <f t="shared" si="23"/>
        <v>"type":"options",</v>
      </c>
      <c r="O145" t="str">
        <f t="shared" si="24"/>
        <v>"subtype":"options",</v>
      </c>
      <c r="P145" t="str">
        <f t="shared" si="25"/>
        <v>"indent":2,</v>
      </c>
      <c r="Q145" t="str">
        <f t="shared" si="29"/>
        <v>"default_value":"count",</v>
      </c>
      <c r="R145" t="str">
        <f t="shared" si="26"/>
        <v>"docs_url":"https://looker.com/docs/r/lookml/types/measure/type?version=7.14&amp;lookml=new",</v>
      </c>
      <c r="S145" t="str">
        <f t="shared" si="27"/>
        <v>"has_allowed_values":True,</v>
      </c>
      <c r="T145" t="str">
        <f t="shared" si="28"/>
        <v>"allowed_values":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</v>
      </c>
    </row>
    <row r="146" spans="1:20" ht="13" hidden="1" x14ac:dyDescent="0.15">
      <c r="A146" s="7">
        <v>155</v>
      </c>
      <c r="B146" s="6" t="s">
        <v>42</v>
      </c>
      <c r="C146" s="6" t="s">
        <v>61</v>
      </c>
      <c r="D146" s="4" t="s">
        <v>17</v>
      </c>
      <c r="E146" s="1" t="s">
        <v>598</v>
      </c>
      <c r="F146" s="4">
        <v>2</v>
      </c>
      <c r="H146" s="4" t="s">
        <v>281</v>
      </c>
      <c r="I146" s="4" t="b">
        <v>0</v>
      </c>
      <c r="K146" s="4" t="b">
        <f>IF(COUNTIF($B$2:$B146,B146)&gt;1,TRUE,FALSE)</f>
        <v>1</v>
      </c>
      <c r="L146" t="str">
        <f t="shared" si="21"/>
        <v>p["suggest_dimension"].update({"measure":{"type":"string_unquoted","subtype":"field-ref","indent":2,"default_value":"","docs_url":"https://looker.com/docs/r/lookml/types/measure/suggest_dimension?version=7.14&amp;lookml=new","has_allowed_values":False,"allowed_values":""}})</v>
      </c>
      <c r="M146" t="str">
        <f t="shared" si="22"/>
        <v>{"suggest_dimension":{"measure":{"type":"string_unquoted","subtype":"field-ref","indent":2,"default_value":"","docs_url":"https://looker.com/docs/r/lookml/types/measure/suggest_dimension?version=7.14&amp;lookml=new","has_allowed_values":False,"allowed_values":""}}}</v>
      </c>
      <c r="N146" t="str">
        <f t="shared" si="23"/>
        <v>"type":"string_unquoted",</v>
      </c>
      <c r="O146" t="str">
        <f t="shared" si="24"/>
        <v>"subtype":"field-ref",</v>
      </c>
      <c r="P146" t="str">
        <f t="shared" si="25"/>
        <v>"indent":2,</v>
      </c>
      <c r="Q146" t="str">
        <f t="shared" si="29"/>
        <v>"default_value":"",</v>
      </c>
      <c r="R146" t="str">
        <f t="shared" si="26"/>
        <v>"docs_url":"https://looker.com/docs/r/lookml/types/measure/suggest_dimension?version=7.14&amp;lookml=new",</v>
      </c>
      <c r="S146" t="str">
        <f t="shared" si="27"/>
        <v>"has_allowed_values":False,</v>
      </c>
      <c r="T146" t="str">
        <f t="shared" si="28"/>
        <v>"allowed_values":""</v>
      </c>
    </row>
    <row r="147" spans="1:20" ht="13" hidden="1" x14ac:dyDescent="0.15">
      <c r="A147" s="7">
        <v>156</v>
      </c>
      <c r="B147" s="6" t="s">
        <v>43</v>
      </c>
      <c r="C147" s="6" t="s">
        <v>61</v>
      </c>
      <c r="D147" s="4" t="s">
        <v>15</v>
      </c>
      <c r="E147" s="1" t="s">
        <v>598</v>
      </c>
      <c r="F147" s="4">
        <v>2</v>
      </c>
      <c r="H147" s="4" t="s">
        <v>282</v>
      </c>
      <c r="I147" s="4" t="b">
        <v>0</v>
      </c>
      <c r="K147" s="4" t="b">
        <f>IF(COUNTIF($B$2:$B147,B147)&gt;1,TRUE,FALSE)</f>
        <v>1</v>
      </c>
      <c r="L147" t="str">
        <f t="shared" si="21"/>
        <v>p["suggest_explore"].update({"measure":{"type":"string_unquoted","subtype":"explore-ref","indent":2,"default_value":"","docs_url":"https://looker.com/docs/r/lookml/types/measure/suggest_explore?version=7.14&amp;lookml=new","has_allowed_values":False,"allowed_values":""}})</v>
      </c>
      <c r="M147" t="str">
        <f t="shared" si="22"/>
        <v>{"suggest_explore":{"measure":{"type":"string_unquoted","subtype":"explore-ref","indent":2,"default_value":"","docs_url":"https://looker.com/docs/r/lookml/types/measure/suggest_explore?version=7.14&amp;lookml=new","has_allowed_values":False,"allowed_values":""}}}</v>
      </c>
      <c r="N147" t="str">
        <f t="shared" si="23"/>
        <v>"type":"string_unquoted",</v>
      </c>
      <c r="O147" t="str">
        <f t="shared" si="24"/>
        <v>"subtype":"explore-ref",</v>
      </c>
      <c r="P147" t="str">
        <f t="shared" si="25"/>
        <v>"indent":2,</v>
      </c>
      <c r="Q147" t="str">
        <f t="shared" si="29"/>
        <v>"default_value":"",</v>
      </c>
      <c r="R147" t="str">
        <f t="shared" si="26"/>
        <v>"docs_url":"https://looker.com/docs/r/lookml/types/measure/suggest_explore?version=7.14&amp;lookml=new",</v>
      </c>
      <c r="S147" t="str">
        <f t="shared" si="27"/>
        <v>"has_allowed_values":False,</v>
      </c>
      <c r="T147" t="str">
        <f t="shared" si="28"/>
        <v>"allowed_values":""</v>
      </c>
    </row>
    <row r="148" spans="1:20" ht="13" hidden="1" x14ac:dyDescent="0.15">
      <c r="A148" s="7">
        <v>157</v>
      </c>
      <c r="B148" s="6" t="s">
        <v>54</v>
      </c>
      <c r="C148" s="6" t="s">
        <v>61</v>
      </c>
      <c r="D148" s="4" t="s">
        <v>29</v>
      </c>
      <c r="E148" s="4" t="s">
        <v>0</v>
      </c>
      <c r="F148" s="4">
        <v>2</v>
      </c>
      <c r="G148" s="4" t="s">
        <v>591</v>
      </c>
      <c r="H148" s="4" t="s">
        <v>283</v>
      </c>
      <c r="I148" s="4" t="b">
        <v>0</v>
      </c>
      <c r="K148" s="4" t="b">
        <f>IF(COUNTIF($B$2:$B148,B148)&gt;1,TRUE,FALSE)</f>
        <v>1</v>
      </c>
      <c r="L148" t="str">
        <f t="shared" si="21"/>
        <v>p["view_label"].update({"measure":{"type":"string","subtype":"possibly-localized-string","indent":2,"default_value":"","docs_url":"https://looker.com/docs/r/lookml/types/measure/view_label?version=7.14&amp;lookml=new","has_allowed_values":False,"allowed_values":""}})</v>
      </c>
      <c r="M148" t="str">
        <f t="shared" si="22"/>
        <v>{"view_label":{"measure":{"type":"string","subtype":"possibly-localized-string","indent":2,"default_value":"","docs_url":"https://looker.com/docs/r/lookml/types/measure/view_label?version=7.14&amp;lookml=new","has_allowed_values":False,"allowed_values":""}}}</v>
      </c>
      <c r="N148" t="str">
        <f t="shared" si="23"/>
        <v>"type":"string",</v>
      </c>
      <c r="O148" t="str">
        <f t="shared" si="24"/>
        <v>"subtype":"possibly-localized-string",</v>
      </c>
      <c r="P148" t="str">
        <f t="shared" si="25"/>
        <v>"indent":2,</v>
      </c>
      <c r="Q148" t="str">
        <f t="shared" si="29"/>
        <v>"default_value":"",</v>
      </c>
      <c r="R148" t="str">
        <f t="shared" si="26"/>
        <v>"docs_url":"https://looker.com/docs/r/lookml/types/measure/view_label?version=7.14&amp;lookml=new",</v>
      </c>
      <c r="S148" t="str">
        <f t="shared" si="27"/>
        <v>"has_allowed_values":False,</v>
      </c>
      <c r="T148" t="str">
        <f t="shared" si="28"/>
        <v>"allowed_values":""</v>
      </c>
    </row>
    <row r="149" spans="1:20" ht="13" hidden="1" x14ac:dyDescent="0.15">
      <c r="A149" s="7">
        <v>160</v>
      </c>
      <c r="B149" s="6" t="s">
        <v>3</v>
      </c>
      <c r="C149" s="6" t="s">
        <v>123</v>
      </c>
      <c r="D149" s="4" t="s">
        <v>568</v>
      </c>
      <c r="E149" s="4" t="s">
        <v>568</v>
      </c>
      <c r="F149" s="4">
        <v>2</v>
      </c>
      <c r="G149" s="4" t="s">
        <v>604</v>
      </c>
      <c r="H149" s="4" t="s">
        <v>284</v>
      </c>
      <c r="I149" s="4" t="b">
        <v>0</v>
      </c>
      <c r="K149" s="4" t="b">
        <f>IF(COUNTIF($B$2:$B149,B149)&gt;1,TRUE,FALSE)</f>
        <v>1</v>
      </c>
      <c r="L149" t="str">
        <f t="shared" si="21"/>
        <v>p["allow_fill"].update({"dimension_group":{"type":"yesno","subtype":"yesno","indent":2,"default_value":"yes","docs_url":"https://looker.com/docs/r/lookml/types/dimension_group/allow_fill?version=7.14&amp;lookml=new","has_allowed_values":False,"allowed_values":""}})</v>
      </c>
      <c r="M149" t="str">
        <f t="shared" si="22"/>
        <v>{"allow_fill":{"dimension_group":{"type":"yesno","subtype":"yesno","indent":2,"default_value":"yes","docs_url":"https://looker.com/docs/r/lookml/types/dimension_group/allow_fill?version=7.14&amp;lookml=new","has_allowed_values":False,"allowed_values":""}}}</v>
      </c>
      <c r="N149" t="str">
        <f t="shared" si="23"/>
        <v>"type":"yesno",</v>
      </c>
      <c r="O149" t="str">
        <f t="shared" si="24"/>
        <v>"subtype":"yesno",</v>
      </c>
      <c r="P149" t="str">
        <f t="shared" si="25"/>
        <v>"indent":2,</v>
      </c>
      <c r="Q149" t="str">
        <f t="shared" si="29"/>
        <v>"default_value":"yes",</v>
      </c>
      <c r="R149" t="str">
        <f t="shared" si="26"/>
        <v>"docs_url":"https://looker.com/docs/r/lookml/types/dimension_group/allow_fill?version=7.14&amp;lookml=new",</v>
      </c>
      <c r="S149" t="str">
        <f t="shared" si="27"/>
        <v>"has_allowed_values":False,</v>
      </c>
      <c r="T149" t="str">
        <f t="shared" si="28"/>
        <v>"allowed_values":""</v>
      </c>
    </row>
    <row r="150" spans="1:20" ht="13" hidden="1" x14ac:dyDescent="0.15">
      <c r="A150" s="7">
        <v>161</v>
      </c>
      <c r="B150" s="6" t="s">
        <v>5</v>
      </c>
      <c r="C150" s="6" t="s">
        <v>123</v>
      </c>
      <c r="D150" s="4" t="s">
        <v>568</v>
      </c>
      <c r="E150" s="4" t="s">
        <v>568</v>
      </c>
      <c r="F150" s="4">
        <v>2</v>
      </c>
      <c r="G150" s="4" t="s">
        <v>603</v>
      </c>
      <c r="H150" s="4" t="s">
        <v>285</v>
      </c>
      <c r="I150" s="4" t="b">
        <v>0</v>
      </c>
      <c r="K150" s="4" t="b">
        <f>IF(COUNTIF($B$2:$B150,B150)&gt;1,TRUE,FALSE)</f>
        <v>1</v>
      </c>
      <c r="L150" t="str">
        <f t="shared" si="21"/>
        <v>p["bypass_suggest_restrictions"].update({"dimension_group":{"type":"yesno","subtype":"yesno","indent":2,"default_value":"no","docs_url":"https://looker.com/docs/r/lookml/types/dimension_group/bypass_suggest_restrictions?version=7.14&amp;lookml=new","has_allowed_values":False,"allowed_values":""}})</v>
      </c>
      <c r="M150" t="str">
        <f t="shared" si="22"/>
        <v>{"bypass_suggest_restrictions":{"dimension_group":{"type":"yesno","subtype":"yesno","indent":2,"default_value":"no","docs_url":"https://looker.com/docs/r/lookml/types/dimension_group/bypass_suggest_restrictions?version=7.14&amp;lookml=new","has_allowed_values":False,"allowed_values":""}}}</v>
      </c>
      <c r="N150" t="str">
        <f t="shared" si="23"/>
        <v>"type":"yesno",</v>
      </c>
      <c r="O150" t="str">
        <f t="shared" si="24"/>
        <v>"subtype":"yesno",</v>
      </c>
      <c r="P150" t="str">
        <f t="shared" si="25"/>
        <v>"indent":2,</v>
      </c>
      <c r="Q150" t="str">
        <f t="shared" si="29"/>
        <v>"default_value":"no",</v>
      </c>
      <c r="R150" t="str">
        <f t="shared" si="26"/>
        <v>"docs_url":"https://looker.com/docs/r/lookml/types/dimension_group/bypass_suggest_restrictions?version=7.14&amp;lookml=new",</v>
      </c>
      <c r="S150" t="str">
        <f t="shared" si="27"/>
        <v>"has_allowed_values":False,</v>
      </c>
      <c r="T150" t="str">
        <f t="shared" si="28"/>
        <v>"allowed_values":""</v>
      </c>
    </row>
    <row r="151" spans="1:20" ht="13" hidden="1" x14ac:dyDescent="0.15">
      <c r="A151" s="7">
        <v>162</v>
      </c>
      <c r="B151" s="6" t="s">
        <v>6</v>
      </c>
      <c r="C151" s="6" t="s">
        <v>123</v>
      </c>
      <c r="D151" s="4" t="s">
        <v>568</v>
      </c>
      <c r="E151" s="4" t="s">
        <v>568</v>
      </c>
      <c r="F151" s="4">
        <v>2</v>
      </c>
      <c r="G151" s="4" t="s">
        <v>604</v>
      </c>
      <c r="H151" s="4" t="s">
        <v>286</v>
      </c>
      <c r="I151" s="4" t="b">
        <v>0</v>
      </c>
      <c r="K151" s="4" t="b">
        <f>IF(COUNTIF($B$2:$B151,B151)&gt;1,TRUE,FALSE)</f>
        <v>1</v>
      </c>
      <c r="L151" t="str">
        <f t="shared" si="21"/>
        <v>p["can_filter"].update({"dimension_group":{"type":"yesno","subtype":"yesno","indent":2,"default_value":"yes","docs_url":"https://looker.com/docs/r/lookml/types/dimension_group/can_filter?version=7.14&amp;lookml=new","has_allowed_values":False,"allowed_values":""}})</v>
      </c>
      <c r="M151" t="str">
        <f t="shared" si="22"/>
        <v>{"can_filter":{"dimension_group":{"type":"yesno","subtype":"yesno","indent":2,"default_value":"yes","docs_url":"https://looker.com/docs/r/lookml/types/dimension_group/can_filter?version=7.14&amp;lookml=new","has_allowed_values":False,"allowed_values":""}}}</v>
      </c>
      <c r="N151" t="str">
        <f t="shared" si="23"/>
        <v>"type":"yesno",</v>
      </c>
      <c r="O151" t="str">
        <f t="shared" si="24"/>
        <v>"subtype":"yesno",</v>
      </c>
      <c r="P151" t="str">
        <f t="shared" si="25"/>
        <v>"indent":2,</v>
      </c>
      <c r="Q151" t="str">
        <f t="shared" si="29"/>
        <v>"default_value":"yes",</v>
      </c>
      <c r="R151" t="str">
        <f t="shared" si="26"/>
        <v>"docs_url":"https://looker.com/docs/r/lookml/types/dimension_group/can_filter?version=7.14&amp;lookml=new",</v>
      </c>
      <c r="S151" t="str">
        <f t="shared" si="27"/>
        <v>"has_allowed_values":False,</v>
      </c>
      <c r="T151" t="str">
        <f t="shared" si="28"/>
        <v>"allowed_values":""</v>
      </c>
    </row>
    <row r="152" spans="1:20" ht="13" hidden="1" x14ac:dyDescent="0.15">
      <c r="A152" s="7">
        <v>163</v>
      </c>
      <c r="B152" s="6" t="s">
        <v>10</v>
      </c>
      <c r="C152" s="6" t="s">
        <v>123</v>
      </c>
      <c r="D152" s="4" t="s">
        <v>550</v>
      </c>
      <c r="E152" s="4" t="s">
        <v>550</v>
      </c>
      <c r="F152" s="4">
        <v>2</v>
      </c>
      <c r="G152" s="4" t="s">
        <v>574</v>
      </c>
      <c r="H152" s="10" t="s">
        <v>287</v>
      </c>
      <c r="I152" s="4" t="b">
        <v>1</v>
      </c>
      <c r="J152" s="4" t="s">
        <v>575</v>
      </c>
      <c r="K152" s="4" t="b">
        <f>IF(COUNTIF($B$2:$B152,B152)&gt;1,TRUE,FALSE)</f>
        <v>1</v>
      </c>
      <c r="L152" t="str">
        <f t="shared" si="21"/>
        <v>p["datatype"].update({"dimension_group":{"type":"options","subtype":"options","indent":2,"default_value":"timestamp","docs_url":"https://looker.com/docs/r/lookml/types/dimension_group/datatype?version=7.14&amp;lookml=new","has_allowed_values":True,"allowed_values":["timestamp","epoch","date","datetime","timestamp", "yyyymmdd"]}})</v>
      </c>
      <c r="M152" t="str">
        <f t="shared" si="22"/>
        <v>{"datatype":{"dimension_group":{"type":"options","subtype":"options","indent":2,"default_value":"timestamp","docs_url":"https://looker.com/docs/r/lookml/types/dimension_group/datatype?version=7.14&amp;lookml=new","has_allowed_values":True,"allowed_values":["timestamp","epoch","date","datetime","timestamp", "yyyymmdd"]}}}</v>
      </c>
      <c r="N152" t="str">
        <f t="shared" si="23"/>
        <v>"type":"options",</v>
      </c>
      <c r="O152" t="str">
        <f t="shared" si="24"/>
        <v>"subtype":"options",</v>
      </c>
      <c r="P152" t="str">
        <f t="shared" si="25"/>
        <v>"indent":2,</v>
      </c>
      <c r="Q152" t="str">
        <f t="shared" si="29"/>
        <v>"default_value":"timestamp",</v>
      </c>
      <c r="R152" t="str">
        <f t="shared" si="26"/>
        <v>"docs_url":"https://looker.com/docs/r/lookml/types/dimension_group/datatype?version=7.14&amp;lookml=new",</v>
      </c>
      <c r="S152" t="str">
        <f t="shared" si="27"/>
        <v>"has_allowed_values":True,</v>
      </c>
      <c r="T152" t="str">
        <f t="shared" si="28"/>
        <v>"allowed_values":["timestamp","epoch","date","datetime","timestamp", "yyyymmdd"]</v>
      </c>
    </row>
    <row r="153" spans="1:20" ht="13" hidden="1" x14ac:dyDescent="0.15">
      <c r="A153" s="7">
        <v>164</v>
      </c>
      <c r="B153" s="6" t="s">
        <v>13</v>
      </c>
      <c r="C153" s="6" t="s">
        <v>123</v>
      </c>
      <c r="D153" s="4" t="s">
        <v>17</v>
      </c>
      <c r="E153" s="4" t="s">
        <v>595</v>
      </c>
      <c r="F153" s="4">
        <v>2</v>
      </c>
      <c r="H153" s="4" t="s">
        <v>288</v>
      </c>
      <c r="I153" s="4" t="b">
        <v>0</v>
      </c>
      <c r="K153" s="4" t="b">
        <f>IF(COUNTIF($B$2:$B153,B153)&gt;1,TRUE,FALSE)</f>
        <v>1</v>
      </c>
      <c r="L153" t="str">
        <f t="shared" si="21"/>
        <v>p["drill_fields"].update({"dimension_group":{"type":"list_unquoted","subtype":"field-ref","indent":2,"default_value":"","docs_url":"https://looker.com/docs/r/lookml/types/dimension_group/drill_fields?version=7.14&amp;lookml=new","has_allowed_values":False,"allowed_values":""}})</v>
      </c>
      <c r="M153" t="str">
        <f t="shared" si="22"/>
        <v>{"drill_fields":{"dimension_group":{"type":"list_unquoted","subtype":"field-ref","indent":2,"default_value":"","docs_url":"https://looker.com/docs/r/lookml/types/dimension_group/drill_fields?version=7.14&amp;lookml=new","has_allowed_values":False,"allowed_values":""}}}</v>
      </c>
      <c r="N153" t="str">
        <f t="shared" si="23"/>
        <v>"type":"list_unquoted",</v>
      </c>
      <c r="O153" t="str">
        <f t="shared" si="24"/>
        <v>"subtype":"field-ref",</v>
      </c>
      <c r="P153" t="str">
        <f t="shared" si="25"/>
        <v>"indent":2,</v>
      </c>
      <c r="Q153" t="str">
        <f t="shared" si="29"/>
        <v>"default_value":"",</v>
      </c>
      <c r="R153" t="str">
        <f t="shared" si="26"/>
        <v>"docs_url":"https://looker.com/docs/r/lookml/types/dimension_group/drill_fields?version=7.14&amp;lookml=new",</v>
      </c>
      <c r="S153" t="str">
        <f t="shared" si="27"/>
        <v>"has_allowed_values":False,</v>
      </c>
      <c r="T153" t="str">
        <f t="shared" si="28"/>
        <v>"allowed_values":""</v>
      </c>
    </row>
    <row r="154" spans="1:20" ht="13" hidden="1" x14ac:dyDescent="0.15">
      <c r="A154" s="7">
        <v>165</v>
      </c>
      <c r="B154" s="6" t="s">
        <v>16</v>
      </c>
      <c r="C154" s="6" t="s">
        <v>123</v>
      </c>
      <c r="D154" s="4" t="s">
        <v>0</v>
      </c>
      <c r="E154" s="4" t="s">
        <v>0</v>
      </c>
      <c r="F154" s="4">
        <v>2</v>
      </c>
      <c r="G154" s="4" t="s">
        <v>591</v>
      </c>
      <c r="H154" s="4" t="s">
        <v>289</v>
      </c>
      <c r="I154" s="4" t="b">
        <v>0</v>
      </c>
      <c r="K154" s="4" t="b">
        <f>IF(COUNTIF($B$2:$B154,B154)&gt;1,TRUE,FALSE)</f>
        <v>1</v>
      </c>
      <c r="L154" t="str">
        <f t="shared" si="21"/>
        <v>p["fanout_on"].update({"dimension_group":{"type":"string","subtype":"string","indent":2,"default_value":"","docs_url":"https://looker.com/docs/r/lookml/types/dimension_group/fanout_on?version=7.14&amp;lookml=new","has_allowed_values":False,"allowed_values":""}})</v>
      </c>
      <c r="M154" t="str">
        <f t="shared" si="22"/>
        <v>{"fanout_on":{"dimension_group":{"type":"string","subtype":"string","indent":2,"default_value":"","docs_url":"https://looker.com/docs/r/lookml/types/dimension_group/fanout_on?version=7.14&amp;lookml=new","has_allowed_values":False,"allowed_values":""}}}</v>
      </c>
      <c r="N154" t="str">
        <f t="shared" si="23"/>
        <v>"type":"string",</v>
      </c>
      <c r="O154" t="str">
        <f t="shared" si="24"/>
        <v>"subtype":"string",</v>
      </c>
      <c r="P154" t="str">
        <f t="shared" si="25"/>
        <v>"indent":2,</v>
      </c>
      <c r="Q154" t="str">
        <f t="shared" si="29"/>
        <v>"default_value":"",</v>
      </c>
      <c r="R154" t="str">
        <f t="shared" si="26"/>
        <v>"docs_url":"https://looker.com/docs/r/lookml/types/dimension_group/fanout_on?version=7.14&amp;lookml=new",</v>
      </c>
      <c r="S154" t="str">
        <f t="shared" si="27"/>
        <v>"has_allowed_values":False,</v>
      </c>
      <c r="T154" t="str">
        <f t="shared" si="28"/>
        <v>"allowed_values":""</v>
      </c>
    </row>
    <row r="155" spans="1:20" ht="13" hidden="1" x14ac:dyDescent="0.15">
      <c r="A155" s="7">
        <v>166</v>
      </c>
      <c r="B155" s="6" t="s">
        <v>18</v>
      </c>
      <c r="C155" s="6" t="s">
        <v>123</v>
      </c>
      <c r="D155" s="4" t="s">
        <v>568</v>
      </c>
      <c r="E155" s="4" t="s">
        <v>568</v>
      </c>
      <c r="F155" s="4">
        <v>2</v>
      </c>
      <c r="G155" s="4" t="s">
        <v>604</v>
      </c>
      <c r="H155" s="4" t="s">
        <v>290</v>
      </c>
      <c r="I155" s="4" t="b">
        <v>0</v>
      </c>
      <c r="K155" s="4" t="b">
        <f>IF(COUNTIF($B$2:$B155,B155)&gt;1,TRUE,FALSE)</f>
        <v>1</v>
      </c>
      <c r="L155" t="str">
        <f t="shared" si="21"/>
        <v>p["full_suggestions"].update({"dimension_group":{"type":"yesno","subtype":"yesno","indent":2,"default_value":"yes","docs_url":"https://looker.com/docs/r/lookml/types/dimension_group/full_suggestions?version=7.14&amp;lookml=new","has_allowed_values":False,"allowed_values":""}})</v>
      </c>
      <c r="M155" t="str">
        <f t="shared" si="22"/>
        <v>{"full_suggestions":{"dimension_group":{"type":"yesno","subtype":"yesno","indent":2,"default_value":"yes","docs_url":"https://looker.com/docs/r/lookml/types/dimension_group/full_suggestions?version=7.14&amp;lookml=new","has_allowed_values":False,"allowed_values":""}}}</v>
      </c>
      <c r="N155" t="str">
        <f t="shared" si="23"/>
        <v>"type":"yesno",</v>
      </c>
      <c r="O155" t="str">
        <f t="shared" si="24"/>
        <v>"subtype":"yesno",</v>
      </c>
      <c r="P155" t="str">
        <f t="shared" si="25"/>
        <v>"indent":2,</v>
      </c>
      <c r="Q155" t="str">
        <f t="shared" si="29"/>
        <v>"default_value":"yes",</v>
      </c>
      <c r="R155" t="str">
        <f t="shared" si="26"/>
        <v>"docs_url":"https://looker.com/docs/r/lookml/types/dimension_group/full_suggestions?version=7.14&amp;lookml=new",</v>
      </c>
      <c r="S155" t="str">
        <f t="shared" si="27"/>
        <v>"has_allowed_values":False,</v>
      </c>
      <c r="T155" t="str">
        <f t="shared" si="28"/>
        <v>"allowed_values":""</v>
      </c>
    </row>
    <row r="156" spans="1:20" ht="13" hidden="1" x14ac:dyDescent="0.15">
      <c r="A156" s="7">
        <v>167</v>
      </c>
      <c r="B156" s="6" t="s">
        <v>20</v>
      </c>
      <c r="C156" s="6" t="s">
        <v>123</v>
      </c>
      <c r="D156" s="4" t="s">
        <v>29</v>
      </c>
      <c r="E156" s="4" t="s">
        <v>0</v>
      </c>
      <c r="F156" s="4">
        <v>2</v>
      </c>
      <c r="G156" s="4" t="s">
        <v>591</v>
      </c>
      <c r="H156" s="4" t="s">
        <v>291</v>
      </c>
      <c r="I156" s="4" t="b">
        <v>0</v>
      </c>
      <c r="K156" s="4" t="b">
        <f>IF(COUNTIF($B$2:$B156,B156)&gt;1,TRUE,FALSE)</f>
        <v>1</v>
      </c>
      <c r="L156" t="str">
        <f t="shared" si="21"/>
        <v>p["group_label"].update({"dimension_group":{"type":"string","subtype":"possibly-localized-string","indent":2,"default_value":"","docs_url":"https://looker.com/docs/r/lookml/types/dimension_group/group_label?version=7.14&amp;lookml=new","has_allowed_values":False,"allowed_values":""}})</v>
      </c>
      <c r="M156" t="str">
        <f t="shared" si="22"/>
        <v>{"group_label":{"dimension_group":{"type":"string","subtype":"possibly-localized-string","indent":2,"default_value":"","docs_url":"https://looker.com/docs/r/lookml/types/dimension_group/group_label?version=7.14&amp;lookml=new","has_allowed_values":False,"allowed_values":""}}}</v>
      </c>
      <c r="N156" t="str">
        <f t="shared" si="23"/>
        <v>"type":"string",</v>
      </c>
      <c r="O156" t="str">
        <f t="shared" si="24"/>
        <v>"subtype":"possibly-localized-string",</v>
      </c>
      <c r="P156" t="str">
        <f t="shared" si="25"/>
        <v>"indent":2,</v>
      </c>
      <c r="Q156" t="str">
        <f t="shared" si="29"/>
        <v>"default_value":"",</v>
      </c>
      <c r="R156" t="str">
        <f t="shared" si="26"/>
        <v>"docs_url":"https://looker.com/docs/r/lookml/types/dimension_group/group_label?version=7.14&amp;lookml=new",</v>
      </c>
      <c r="S156" t="str">
        <f t="shared" si="27"/>
        <v>"has_allowed_values":False,</v>
      </c>
      <c r="T156" t="str">
        <f t="shared" si="28"/>
        <v>"allowed_values":""</v>
      </c>
    </row>
    <row r="157" spans="1:20" ht="13" hidden="1" x14ac:dyDescent="0.15">
      <c r="A157" s="7">
        <v>168</v>
      </c>
      <c r="B157" s="6" t="s">
        <v>19</v>
      </c>
      <c r="C157" s="6" t="s">
        <v>123</v>
      </c>
      <c r="D157" s="4" t="s">
        <v>29</v>
      </c>
      <c r="E157" s="4" t="s">
        <v>0</v>
      </c>
      <c r="F157" s="4">
        <v>2</v>
      </c>
      <c r="G157" s="4" t="s">
        <v>591</v>
      </c>
      <c r="H157" s="4" t="s">
        <v>292</v>
      </c>
      <c r="I157" s="4" t="b">
        <v>0</v>
      </c>
      <c r="K157" s="4" t="b">
        <f>IF(COUNTIF($B$2:$B157,B157)&gt;1,TRUE,FALSE)</f>
        <v>1</v>
      </c>
      <c r="L157" t="str">
        <f t="shared" si="21"/>
        <v>p["group_item_label"].update({"dimension_group":{"type":"string","subtype":"possibly-localized-string","indent":2,"default_value":"","docs_url":"https://looker.com/docs/r/lookml/types/dimension_group/group_item_label?version=7.14&amp;lookml=new","has_allowed_values":False,"allowed_values":""}})</v>
      </c>
      <c r="M157" t="str">
        <f t="shared" si="22"/>
        <v>{"group_item_label":{"dimension_group":{"type":"string","subtype":"possibly-localized-string","indent":2,"default_value":"","docs_url":"https://looker.com/docs/r/lookml/types/dimension_group/group_item_label?version=7.14&amp;lookml=new","has_allowed_values":False,"allowed_values":""}}}</v>
      </c>
      <c r="N157" t="str">
        <f t="shared" si="23"/>
        <v>"type":"string",</v>
      </c>
      <c r="O157" t="str">
        <f t="shared" si="24"/>
        <v>"subtype":"possibly-localized-string",</v>
      </c>
      <c r="P157" t="str">
        <f t="shared" si="25"/>
        <v>"indent":2,</v>
      </c>
      <c r="Q157" t="str">
        <f t="shared" si="29"/>
        <v>"default_value":"",</v>
      </c>
      <c r="R157" t="str">
        <f t="shared" si="26"/>
        <v>"docs_url":"https://looker.com/docs/r/lookml/types/dimension_group/group_item_label?version=7.14&amp;lookml=new",</v>
      </c>
      <c r="S157" t="str">
        <f t="shared" si="27"/>
        <v>"has_allowed_values":False,</v>
      </c>
      <c r="T157" t="str">
        <f t="shared" si="28"/>
        <v>"allowed_values":""</v>
      </c>
    </row>
    <row r="158" spans="1:20" ht="13" hidden="1" x14ac:dyDescent="0.15">
      <c r="A158" s="7">
        <v>169</v>
      </c>
      <c r="B158" s="6" t="s">
        <v>22</v>
      </c>
      <c r="C158" s="6" t="s">
        <v>123</v>
      </c>
      <c r="D158" s="4" t="s">
        <v>612</v>
      </c>
      <c r="E158" s="4" t="s">
        <v>22</v>
      </c>
      <c r="F158" s="4">
        <v>2</v>
      </c>
      <c r="G158" s="4" t="s">
        <v>591</v>
      </c>
      <c r="H158" s="4" t="s">
        <v>293</v>
      </c>
      <c r="I158" s="4" t="b">
        <v>0</v>
      </c>
      <c r="K158" s="4" t="b">
        <f>IF(COUNTIF($B$2:$B158,B158)&gt;1,TRUE,FALSE)</f>
        <v>1</v>
      </c>
      <c r="L158" t="str">
        <f t="shared" si="21"/>
        <v>p["html"].update({"dimension_group":{"type":"html","subtype":"html-block ","indent":2,"default_value":"","docs_url":"https://looker.com/docs/r/lookml/types/dimension_group/html?version=7.14&amp;lookml=new","has_allowed_values":False,"allowed_values":""}})</v>
      </c>
      <c r="M158" t="str">
        <f t="shared" si="22"/>
        <v>{"html":{"dimension_group":{"type":"html","subtype":"html-block ","indent":2,"default_value":"","docs_url":"https://looker.com/docs/r/lookml/types/dimension_group/html?version=7.14&amp;lookml=new","has_allowed_values":False,"allowed_values":""}}}</v>
      </c>
      <c r="N158" t="str">
        <f t="shared" si="23"/>
        <v>"type":"html",</v>
      </c>
      <c r="O158" t="str">
        <f t="shared" si="24"/>
        <v>"subtype":"html-block ",</v>
      </c>
      <c r="P158" t="str">
        <f t="shared" si="25"/>
        <v>"indent":2,</v>
      </c>
      <c r="Q158" t="str">
        <f t="shared" si="29"/>
        <v>"default_value":"",</v>
      </c>
      <c r="R158" t="str">
        <f t="shared" si="26"/>
        <v>"docs_url":"https://looker.com/docs/r/lookml/types/dimension_group/html?version=7.14&amp;lookml=new",</v>
      </c>
      <c r="S158" t="str">
        <f t="shared" si="27"/>
        <v>"has_allowed_values":False,</v>
      </c>
      <c r="T158" t="str">
        <f t="shared" si="28"/>
        <v>"allowed_values":""</v>
      </c>
    </row>
    <row r="159" spans="1:20" ht="13" hidden="1" x14ac:dyDescent="0.15">
      <c r="A159" s="7">
        <v>170</v>
      </c>
      <c r="B159" s="6" t="s">
        <v>483</v>
      </c>
      <c r="C159" s="6" t="s">
        <v>123</v>
      </c>
      <c r="D159" s="4" t="s">
        <v>595</v>
      </c>
      <c r="E159" s="4" t="s">
        <v>595</v>
      </c>
      <c r="F159" s="4">
        <v>2</v>
      </c>
      <c r="G159" s="4" t="s">
        <v>586</v>
      </c>
      <c r="H159" s="10" t="s">
        <v>294</v>
      </c>
      <c r="I159" s="4" t="b">
        <v>1</v>
      </c>
      <c r="J159" s="4" t="s">
        <v>585</v>
      </c>
      <c r="K159" s="4" t="b">
        <f>IF(COUNTIF($B$2:$B159,B159)&gt;1,TRUE,FALSE)</f>
        <v>0</v>
      </c>
      <c r="L159" t="str">
        <f t="shared" si="21"/>
        <v>p.update({"intervals":{"dimension_group":{"type":"list_unquoted","subtype":"list_unquoted","indent":2,"default_value":"day","docs_url":"https://looker.com/docs/r/lookml/types/dimension_group/intervals?version=7.14&amp;lookml=new","has_allowed_values":True,"allowed_values":["day","hour","minute","month","quarter","second","week","year",]}}})</v>
      </c>
      <c r="M159" t="str">
        <f t="shared" si="22"/>
        <v>{"intervals":{"dimension_group":{"type":"list_unquoted","subtype":"list_unquoted","indent":2,"default_value":"day","docs_url":"https://looker.com/docs/r/lookml/types/dimension_group/intervals?version=7.14&amp;lookml=new","has_allowed_values":True,"allowed_values":["day","hour","minute","month","quarter","second","week","year",]}}}</v>
      </c>
      <c r="N159" t="str">
        <f t="shared" si="23"/>
        <v>"type":"list_unquoted",</v>
      </c>
      <c r="O159" t="str">
        <f t="shared" si="24"/>
        <v>"subtype":"list_unquoted",</v>
      </c>
      <c r="P159" t="str">
        <f t="shared" si="25"/>
        <v>"indent":2,</v>
      </c>
      <c r="Q159" t="str">
        <f t="shared" si="29"/>
        <v>"default_value":"day",</v>
      </c>
      <c r="R159" t="str">
        <f t="shared" si="26"/>
        <v>"docs_url":"https://looker.com/docs/r/lookml/types/dimension_group/intervals?version=7.14&amp;lookml=new",</v>
      </c>
      <c r="S159" t="str">
        <f t="shared" si="27"/>
        <v>"has_allowed_values":True,</v>
      </c>
      <c r="T159" t="str">
        <f t="shared" si="28"/>
        <v>"allowed_values":["day","hour","minute","month","quarter","second","week","year",]</v>
      </c>
    </row>
    <row r="160" spans="1:20" ht="13" hidden="1" x14ac:dyDescent="0.15">
      <c r="A160" s="7">
        <v>171</v>
      </c>
      <c r="B160" s="6" t="s">
        <v>28</v>
      </c>
      <c r="C160" s="6" t="s">
        <v>123</v>
      </c>
      <c r="D160" s="4" t="s">
        <v>17</v>
      </c>
      <c r="E160" s="1" t="s">
        <v>598</v>
      </c>
      <c r="F160" s="4">
        <v>2</v>
      </c>
      <c r="H160" s="4" t="s">
        <v>295</v>
      </c>
      <c r="I160" s="4" t="b">
        <v>0</v>
      </c>
      <c r="K160" s="4" t="b">
        <f>IF(COUNTIF($B$2:$B160,B160)&gt;1,TRUE,FALSE)</f>
        <v>1</v>
      </c>
      <c r="L160" t="str">
        <f t="shared" si="21"/>
        <v>p["order_by_field"].update({"dimension_group":{"type":"string_unquoted","subtype":"field-ref","indent":2,"default_value":"","docs_url":"https://looker.com/docs/r/lookml/types/dimension_group/order_by_field?version=7.14&amp;lookml=new","has_allowed_values":False,"allowed_values":""}})</v>
      </c>
      <c r="M160" t="str">
        <f t="shared" si="22"/>
        <v>{"order_by_field":{"dimension_group":{"type":"string_unquoted","subtype":"field-ref","indent":2,"default_value":"","docs_url":"https://looker.com/docs/r/lookml/types/dimension_group/order_by_field?version=7.14&amp;lookml=new","has_allowed_values":False,"allowed_values":""}}}</v>
      </c>
      <c r="N160" t="str">
        <f t="shared" si="23"/>
        <v>"type":"string_unquoted",</v>
      </c>
      <c r="O160" t="str">
        <f t="shared" si="24"/>
        <v>"subtype":"field-ref",</v>
      </c>
      <c r="P160" t="str">
        <f t="shared" si="25"/>
        <v>"indent":2,</v>
      </c>
      <c r="Q160" t="str">
        <f t="shared" si="29"/>
        <v>"default_value":"",</v>
      </c>
      <c r="R160" t="str">
        <f t="shared" si="26"/>
        <v>"docs_url":"https://looker.com/docs/r/lookml/types/dimension_group/order_by_field?version=7.14&amp;lookml=new",</v>
      </c>
      <c r="S160" t="str">
        <f t="shared" si="27"/>
        <v>"has_allowed_values":False,</v>
      </c>
      <c r="T160" t="str">
        <f t="shared" si="28"/>
        <v>"allowed_values":""</v>
      </c>
    </row>
    <row r="161" spans="1:20" ht="13" hidden="1" x14ac:dyDescent="0.15">
      <c r="A161" s="7">
        <v>172</v>
      </c>
      <c r="B161" s="6" t="s">
        <v>33</v>
      </c>
      <c r="C161" s="6" t="s">
        <v>123</v>
      </c>
      <c r="D161" s="4" t="s">
        <v>568</v>
      </c>
      <c r="E161" s="4" t="s">
        <v>568</v>
      </c>
      <c r="F161" s="4">
        <v>2</v>
      </c>
      <c r="G161" s="4" t="s">
        <v>603</v>
      </c>
      <c r="H161" s="4" t="s">
        <v>296</v>
      </c>
      <c r="I161" s="4" t="b">
        <v>0</v>
      </c>
      <c r="K161" s="4" t="b">
        <f>IF(COUNTIF($B$2:$B161,B161)&gt;1,TRUE,FALSE)</f>
        <v>1</v>
      </c>
      <c r="L161" t="str">
        <f t="shared" si="21"/>
        <v>p["skip_drill_filter"].update({"dimension_group":{"type":"yesno","subtype":"yesno","indent":2,"default_value":"no","docs_url":"https://looker.com/docs/r/lookml/types/dimension_group/skip_drill_filter?version=7.14&amp;lookml=new","has_allowed_values":False,"allowed_values":""}})</v>
      </c>
      <c r="M161" t="str">
        <f t="shared" si="22"/>
        <v>{"skip_drill_filter":{"dimension_group":{"type":"yesno","subtype":"yesno","indent":2,"default_value":"no","docs_url":"https://looker.com/docs/r/lookml/types/dimension_group/skip_drill_filter?version=7.14&amp;lookml=new","has_allowed_values":False,"allowed_values":""}}}</v>
      </c>
      <c r="N161" t="str">
        <f t="shared" si="23"/>
        <v>"type":"yesno",</v>
      </c>
      <c r="O161" t="str">
        <f t="shared" si="24"/>
        <v>"subtype":"yesno",</v>
      </c>
      <c r="P161" t="str">
        <f t="shared" si="25"/>
        <v>"indent":2,</v>
      </c>
      <c r="Q161" t="str">
        <f t="shared" si="29"/>
        <v>"default_value":"no",</v>
      </c>
      <c r="R161" t="str">
        <f t="shared" si="26"/>
        <v>"docs_url":"https://looker.com/docs/r/lookml/types/dimension_group/skip_drill_filter?version=7.14&amp;lookml=new",</v>
      </c>
      <c r="S161" t="str">
        <f t="shared" si="27"/>
        <v>"has_allowed_values":False,</v>
      </c>
      <c r="T161" t="str">
        <f t="shared" si="28"/>
        <v>"allowed_values":""</v>
      </c>
    </row>
    <row r="162" spans="1:20" ht="13" hidden="1" x14ac:dyDescent="0.15">
      <c r="A162" s="7">
        <v>173</v>
      </c>
      <c r="B162" s="6" t="s">
        <v>34</v>
      </c>
      <c r="C162" s="6" t="s">
        <v>123</v>
      </c>
      <c r="D162" s="4" t="s">
        <v>611</v>
      </c>
      <c r="E162" s="4" t="s">
        <v>34</v>
      </c>
      <c r="F162" s="4">
        <v>2</v>
      </c>
      <c r="G162" s="4" t="s">
        <v>591</v>
      </c>
      <c r="H162" s="4" t="s">
        <v>297</v>
      </c>
      <c r="I162" s="4" t="b">
        <v>0</v>
      </c>
      <c r="K162" s="4" t="b">
        <f>IF(COUNTIF($B$2:$B162,B162)&gt;1,TRUE,FALSE)</f>
        <v>1</v>
      </c>
      <c r="L162" t="str">
        <f t="shared" si="21"/>
        <v>p["sql"].update({"dimension_group":{"type":"sql","subtype":"sql-block ","indent":2,"default_value":"","docs_url":"https://looker.com/docs/r/lookml/types/dimension_group/sql?version=7.14&amp;lookml=new","has_allowed_values":False,"allowed_values":""}})</v>
      </c>
      <c r="M162" t="str">
        <f t="shared" si="22"/>
        <v>{"sql":{"dimension_group":{"type":"sql","subtype":"sql-block ","indent":2,"default_value":"","docs_url":"https://looker.com/docs/r/lookml/types/dimension_group/sql?version=7.14&amp;lookml=new","has_allowed_values":False,"allowed_values":""}}}</v>
      </c>
      <c r="N162" t="str">
        <f t="shared" si="23"/>
        <v>"type":"sql",</v>
      </c>
      <c r="O162" t="str">
        <f t="shared" si="24"/>
        <v>"subtype":"sql-block ",</v>
      </c>
      <c r="P162" t="str">
        <f t="shared" si="25"/>
        <v>"indent":2,</v>
      </c>
      <c r="Q162" t="str">
        <f t="shared" si="29"/>
        <v>"default_value":"",</v>
      </c>
      <c r="R162" t="str">
        <f t="shared" si="26"/>
        <v>"docs_url":"https://looker.com/docs/r/lookml/types/dimension_group/sql?version=7.14&amp;lookml=new",</v>
      </c>
      <c r="S162" t="str">
        <f t="shared" si="27"/>
        <v>"has_allowed_values":False,</v>
      </c>
      <c r="T162" t="str">
        <f t="shared" si="28"/>
        <v>"allowed_values":""</v>
      </c>
    </row>
    <row r="163" spans="1:20" ht="13" hidden="1" x14ac:dyDescent="0.15">
      <c r="A163" s="7">
        <v>174</v>
      </c>
      <c r="B163" s="6" t="s">
        <v>35</v>
      </c>
      <c r="C163" s="6" t="s">
        <v>123</v>
      </c>
      <c r="D163" s="4" t="s">
        <v>611</v>
      </c>
      <c r="E163" s="4" t="s">
        <v>34</v>
      </c>
      <c r="F163" s="4">
        <v>2</v>
      </c>
      <c r="G163" s="4" t="s">
        <v>591</v>
      </c>
      <c r="H163" s="4" t="s">
        <v>298</v>
      </c>
      <c r="I163" s="4" t="b">
        <v>0</v>
      </c>
      <c r="K163" s="4" t="b">
        <f>IF(COUNTIF($B$2:$B163,B163)&gt;1,TRUE,FALSE)</f>
        <v>1</v>
      </c>
      <c r="L163" t="str">
        <f t="shared" si="21"/>
        <v>p["sql_end"].update({"dimension_group":{"type":"sql","subtype":"sql-block ","indent":2,"default_value":"","docs_url":"https://looker.com/docs/r/lookml/types/dimension_group/sql_end?version=7.14&amp;lookml=new","has_allowed_values":False,"allowed_values":""}})</v>
      </c>
      <c r="M163" t="str">
        <f t="shared" si="22"/>
        <v>{"sql_end":{"dimension_group":{"type":"sql","subtype":"sql-block ","indent":2,"default_value":"","docs_url":"https://looker.com/docs/r/lookml/types/dimension_group/sql_end?version=7.14&amp;lookml=new","has_allowed_values":False,"allowed_values":""}}}</v>
      </c>
      <c r="N163" t="str">
        <f t="shared" si="23"/>
        <v>"type":"sql",</v>
      </c>
      <c r="O163" t="str">
        <f t="shared" si="24"/>
        <v>"subtype":"sql-block ",</v>
      </c>
      <c r="P163" t="str">
        <f t="shared" si="25"/>
        <v>"indent":2,</v>
      </c>
      <c r="Q163" t="str">
        <f t="shared" si="29"/>
        <v>"default_value":"",</v>
      </c>
      <c r="R163" t="str">
        <f t="shared" si="26"/>
        <v>"docs_url":"https://looker.com/docs/r/lookml/types/dimension_group/sql_end?version=7.14&amp;lookml=new",</v>
      </c>
      <c r="S163" t="str">
        <f t="shared" si="27"/>
        <v>"has_allowed_values":False,</v>
      </c>
      <c r="T163" t="str">
        <f t="shared" si="28"/>
        <v>"allowed_values":""</v>
      </c>
    </row>
    <row r="164" spans="1:20" ht="13" hidden="1" x14ac:dyDescent="0.15">
      <c r="A164" s="7">
        <v>175</v>
      </c>
      <c r="B164" s="6" t="s">
        <v>38</v>
      </c>
      <c r="C164" s="6" t="s">
        <v>123</v>
      </c>
      <c r="D164" s="4" t="s">
        <v>611</v>
      </c>
      <c r="E164" s="4" t="s">
        <v>34</v>
      </c>
      <c r="F164" s="4">
        <v>2</v>
      </c>
      <c r="G164" s="4" t="s">
        <v>591</v>
      </c>
      <c r="H164" s="4" t="s">
        <v>299</v>
      </c>
      <c r="I164" s="4" t="b">
        <v>0</v>
      </c>
      <c r="K164" s="4" t="b">
        <f>IF(COUNTIF($B$2:$B164,B164)&gt;1,TRUE,FALSE)</f>
        <v>1</v>
      </c>
      <c r="L164" t="str">
        <f t="shared" si="21"/>
        <v>p["sql_start"].update({"dimension_group":{"type":"sql","subtype":"sql-block ","indent":2,"default_value":"","docs_url":"https://looker.com/docs/r/lookml/types/dimension_group/sql_start?version=7.14&amp;lookml=new","has_allowed_values":False,"allowed_values":""}})</v>
      </c>
      <c r="M164" t="str">
        <f t="shared" si="22"/>
        <v>{"sql_start":{"dimension_group":{"type":"sql","subtype":"sql-block ","indent":2,"default_value":"","docs_url":"https://looker.com/docs/r/lookml/types/dimension_group/sql_start?version=7.14&amp;lookml=new","has_allowed_values":False,"allowed_values":""}}}</v>
      </c>
      <c r="N164" t="str">
        <f t="shared" si="23"/>
        <v>"type":"sql",</v>
      </c>
      <c r="O164" t="str">
        <f t="shared" si="24"/>
        <v>"subtype":"sql-block ",</v>
      </c>
      <c r="P164" t="str">
        <f t="shared" si="25"/>
        <v>"indent":2,</v>
      </c>
      <c r="Q164" t="str">
        <f t="shared" si="29"/>
        <v>"default_value":"",</v>
      </c>
      <c r="R164" t="str">
        <f t="shared" si="26"/>
        <v>"docs_url":"https://looker.com/docs/r/lookml/types/dimension_group/sql_start?version=7.14&amp;lookml=new",</v>
      </c>
      <c r="S164" t="str">
        <f t="shared" si="27"/>
        <v>"has_allowed_values":False,</v>
      </c>
      <c r="T164" t="str">
        <f t="shared" si="28"/>
        <v>"allowed_values":""</v>
      </c>
    </row>
    <row r="165" spans="1:20" ht="13" hidden="1" x14ac:dyDescent="0.15">
      <c r="A165" s="7">
        <v>176</v>
      </c>
      <c r="B165" s="6" t="s">
        <v>484</v>
      </c>
      <c r="C165" s="6" t="s">
        <v>123</v>
      </c>
      <c r="D165" s="4" t="s">
        <v>595</v>
      </c>
      <c r="E165" s="4" t="s">
        <v>595</v>
      </c>
      <c r="F165" s="4">
        <v>2</v>
      </c>
      <c r="G165" s="4" t="s">
        <v>588</v>
      </c>
      <c r="H165" s="4" t="s">
        <v>300</v>
      </c>
      <c r="I165" s="4" t="b">
        <v>1</v>
      </c>
      <c r="J165" s="4" t="s">
        <v>587</v>
      </c>
      <c r="K165" s="4" t="b">
        <f>IF(COUNTIF($B$2:$B165,B165)&gt;1,TRUE,FALSE)</f>
        <v>0</v>
      </c>
      <c r="L165" t="str">
        <f t="shared" si="21"/>
        <v>p.update({"timeframes":{"dimension_group":{"type":"list_unquoted","subtype":"list_unquoted","indent":2,"default_value":["date","month","raw"],"docs_url":"https://looker.com/docs/r/lookml/types/dimension_group/timeframes?version=7.14&amp;lookml=new","has_allowed_values":True,"allowed_values":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}}})</v>
      </c>
      <c r="M165" t="str">
        <f t="shared" si="22"/>
        <v>{"timeframes":{"dimension_group":{"type":"list_unquoted","subtype":"list_unquoted","indent":2,"default_value":["date","month","raw"],"docs_url":"https://looker.com/docs/r/lookml/types/dimension_group/timeframes?version=7.14&amp;lookml=new","has_allowed_values":True,"allowed_values":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}}}</v>
      </c>
      <c r="N165" t="str">
        <f t="shared" si="23"/>
        <v>"type":"list_unquoted",</v>
      </c>
      <c r="O165" t="str">
        <f t="shared" si="24"/>
        <v>"subtype":"list_unquoted",</v>
      </c>
      <c r="P165" t="str">
        <f t="shared" si="25"/>
        <v>"indent":2,</v>
      </c>
      <c r="Q165" t="str">
        <f t="shared" si="29"/>
        <v>"default_value":["date","month","raw"],</v>
      </c>
      <c r="R165" t="str">
        <f t="shared" si="26"/>
        <v>"docs_url":"https://looker.com/docs/r/lookml/types/dimension_group/timeframes?version=7.14&amp;lookml=new",</v>
      </c>
      <c r="S165" t="str">
        <f t="shared" si="27"/>
        <v>"has_allowed_values":True,</v>
      </c>
      <c r="T165" t="str">
        <f t="shared" si="28"/>
        <v>"allowed_values":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</v>
      </c>
    </row>
    <row r="166" spans="1:20" ht="13" hidden="1" x14ac:dyDescent="0.15">
      <c r="A166" s="7">
        <v>177</v>
      </c>
      <c r="B166" s="6" t="s">
        <v>2</v>
      </c>
      <c r="C166" s="6" t="s">
        <v>123</v>
      </c>
      <c r="D166" s="4" t="s">
        <v>95</v>
      </c>
      <c r="E166" s="4" t="s">
        <v>595</v>
      </c>
      <c r="F166" s="4">
        <v>2</v>
      </c>
      <c r="H166" s="4" t="s">
        <v>301</v>
      </c>
      <c r="I166" s="4" t="b">
        <v>0</v>
      </c>
      <c r="K166" s="4" t="b">
        <f>IF(COUNTIF($B$2:$B166,B166)&gt;1,TRUE,FALSE)</f>
        <v>1</v>
      </c>
      <c r="L166" t="str">
        <f t="shared" si="21"/>
        <v>p["alias"].update({"dimension_group":{"type":"list_unquoted","subtype":"identifier","indent":2,"default_value":"","docs_url":"https://looker.com/docs/r/lookml/types/dimension_group/alias?version=7.14&amp;lookml=new","has_allowed_values":False,"allowed_values":""}})</v>
      </c>
      <c r="M166" t="str">
        <f t="shared" si="22"/>
        <v>{"alias":{"dimension_group":{"type":"list_unquoted","subtype":"identifier","indent":2,"default_value":"","docs_url":"https://looker.com/docs/r/lookml/types/dimension_group/alias?version=7.14&amp;lookml=new","has_allowed_values":False,"allowed_values":""}}}</v>
      </c>
      <c r="N166" t="str">
        <f t="shared" si="23"/>
        <v>"type":"list_unquoted",</v>
      </c>
      <c r="O166" t="str">
        <f t="shared" si="24"/>
        <v>"subtype":"identifier",</v>
      </c>
      <c r="P166" t="str">
        <f t="shared" si="25"/>
        <v>"indent":2,</v>
      </c>
      <c r="Q166" t="str">
        <f t="shared" si="29"/>
        <v>"default_value":"",</v>
      </c>
      <c r="R166" t="str">
        <f t="shared" si="26"/>
        <v>"docs_url":"https://looker.com/docs/r/lookml/types/dimension_group/alias?version=7.14&amp;lookml=new",</v>
      </c>
      <c r="S166" t="str">
        <f t="shared" si="27"/>
        <v>"has_allowed_values":False,</v>
      </c>
      <c r="T166" t="str">
        <f t="shared" si="28"/>
        <v>"allowed_values":""</v>
      </c>
    </row>
    <row r="167" spans="1:20" ht="13" hidden="1" x14ac:dyDescent="0.15">
      <c r="A167" s="7">
        <v>178</v>
      </c>
      <c r="B167" s="6" t="s">
        <v>9</v>
      </c>
      <c r="C167" s="6" t="s">
        <v>123</v>
      </c>
      <c r="D167" s="4" t="s">
        <v>568</v>
      </c>
      <c r="E167" s="4" t="s">
        <v>568</v>
      </c>
      <c r="F167" s="4">
        <v>2</v>
      </c>
      <c r="G167" s="4" t="s">
        <v>604</v>
      </c>
      <c r="H167" s="4" t="s">
        <v>302</v>
      </c>
      <c r="I167" s="4" t="b">
        <v>0</v>
      </c>
      <c r="K167" s="4" t="b">
        <f>IF(COUNTIF($B$2:$B167,B167)&gt;1,TRUE,FALSE)</f>
        <v>1</v>
      </c>
      <c r="L167" t="str">
        <f t="shared" si="21"/>
        <v>p["convert_tz"].update({"dimension_group":{"type":"yesno","subtype":"yesno","indent":2,"default_value":"yes","docs_url":"https://looker.com/docs/r/lookml/types/dimension_group/convert_tz?version=7.14&amp;lookml=new","has_allowed_values":False,"allowed_values":""}})</v>
      </c>
      <c r="M167" t="str">
        <f t="shared" si="22"/>
        <v>{"convert_tz":{"dimension_group":{"type":"yesno","subtype":"yesno","indent":2,"default_value":"yes","docs_url":"https://looker.com/docs/r/lookml/types/dimension_group/convert_tz?version=7.14&amp;lookml=new","has_allowed_values":False,"allowed_values":""}}}</v>
      </c>
      <c r="N167" t="str">
        <f t="shared" si="23"/>
        <v>"type":"yesno",</v>
      </c>
      <c r="O167" t="str">
        <f t="shared" si="24"/>
        <v>"subtype":"yesno",</v>
      </c>
      <c r="P167" t="str">
        <f t="shared" si="25"/>
        <v>"indent":2,</v>
      </c>
      <c r="Q167" t="str">
        <f t="shared" si="29"/>
        <v>"default_value":"yes",</v>
      </c>
      <c r="R167" t="str">
        <f t="shared" si="26"/>
        <v>"docs_url":"https://looker.com/docs/r/lookml/types/dimension_group/convert_tz?version=7.14&amp;lookml=new",</v>
      </c>
      <c r="S167" t="str">
        <f t="shared" si="27"/>
        <v>"has_allowed_values":False,</v>
      </c>
      <c r="T167" t="str">
        <f t="shared" si="28"/>
        <v>"allowed_values":""</v>
      </c>
    </row>
    <row r="168" spans="1:20" ht="13" hidden="1" x14ac:dyDescent="0.15">
      <c r="A168" s="7">
        <v>179</v>
      </c>
      <c r="B168" s="6" t="s">
        <v>11</v>
      </c>
      <c r="C168" s="6" t="s">
        <v>123</v>
      </c>
      <c r="D168" s="4" t="s">
        <v>29</v>
      </c>
      <c r="E168" s="4" t="s">
        <v>0</v>
      </c>
      <c r="F168" s="4">
        <v>2</v>
      </c>
      <c r="G168" s="4" t="s">
        <v>591</v>
      </c>
      <c r="H168" s="4" t="s">
        <v>303</v>
      </c>
      <c r="I168" s="4" t="b">
        <v>0</v>
      </c>
      <c r="K168" s="4" t="b">
        <f>IF(COUNTIF($B$2:$B168,B168)&gt;1,TRUE,FALSE)</f>
        <v>1</v>
      </c>
      <c r="L168" t="str">
        <f t="shared" si="21"/>
        <v>p["description"].update({"dimension_group":{"type":"string","subtype":"possibly-localized-string","indent":2,"default_value":"","docs_url":"https://looker.com/docs/r/lookml/types/dimension_group/description?version=7.14&amp;lookml=new","has_allowed_values":False,"allowed_values":""}})</v>
      </c>
      <c r="M168" t="str">
        <f t="shared" si="22"/>
        <v>{"description":{"dimension_group":{"type":"string","subtype":"possibly-localized-string","indent":2,"default_value":"","docs_url":"https://looker.com/docs/r/lookml/types/dimension_group/description?version=7.14&amp;lookml=new","has_allowed_values":False,"allowed_values":""}}}</v>
      </c>
      <c r="N168" t="str">
        <f t="shared" si="23"/>
        <v>"type":"string",</v>
      </c>
      <c r="O168" t="str">
        <f t="shared" si="24"/>
        <v>"subtype":"possibly-localized-string",</v>
      </c>
      <c r="P168" t="str">
        <f t="shared" si="25"/>
        <v>"indent":2,</v>
      </c>
      <c r="Q168" t="str">
        <f t="shared" si="29"/>
        <v>"default_value":"",</v>
      </c>
      <c r="R168" t="str">
        <f t="shared" si="26"/>
        <v>"docs_url":"https://looker.com/docs/r/lookml/types/dimension_group/description?version=7.14&amp;lookml=new",</v>
      </c>
      <c r="S168" t="str">
        <f t="shared" si="27"/>
        <v>"has_allowed_values":False,</v>
      </c>
      <c r="T168" t="str">
        <f t="shared" si="28"/>
        <v>"allowed_values":""</v>
      </c>
    </row>
    <row r="169" spans="1:20" ht="13" hidden="1" x14ac:dyDescent="0.15">
      <c r="A169" s="7">
        <v>180</v>
      </c>
      <c r="B169" s="6" t="s">
        <v>21</v>
      </c>
      <c r="C169" s="6" t="s">
        <v>123</v>
      </c>
      <c r="D169" s="4" t="s">
        <v>568</v>
      </c>
      <c r="E169" s="4" t="s">
        <v>568</v>
      </c>
      <c r="F169" s="4">
        <v>2</v>
      </c>
      <c r="G169" s="4" t="s">
        <v>603</v>
      </c>
      <c r="H169" s="4" t="s">
        <v>304</v>
      </c>
      <c r="I169" s="4" t="b">
        <v>0</v>
      </c>
      <c r="K169" s="4" t="b">
        <f>IF(COUNTIF($B$2:$B169,B169)&gt;1,TRUE,FALSE)</f>
        <v>1</v>
      </c>
      <c r="L169" t="str">
        <f t="shared" si="21"/>
        <v>p["hidden"].update({"dimension_group":{"type":"yesno","subtype":"yesno","indent":2,"default_value":"no","docs_url":"https://looker.com/docs/r/lookml/types/dimension_group/hidden?version=7.14&amp;lookml=new","has_allowed_values":False,"allowed_values":""}})</v>
      </c>
      <c r="M169" t="str">
        <f t="shared" si="22"/>
        <v>{"hidden":{"dimension_group":{"type":"yesno","subtype":"yesno","indent":2,"default_value":"no","docs_url":"https://looker.com/docs/r/lookml/types/dimension_group/hidden?version=7.14&amp;lookml=new","has_allowed_values":False,"allowed_values":""}}}</v>
      </c>
      <c r="N169" t="str">
        <f t="shared" si="23"/>
        <v>"type":"yesno",</v>
      </c>
      <c r="O169" t="str">
        <f t="shared" si="24"/>
        <v>"subtype":"yesno",</v>
      </c>
      <c r="P169" t="str">
        <f t="shared" si="25"/>
        <v>"indent":2,</v>
      </c>
      <c r="Q169" t="str">
        <f t="shared" si="29"/>
        <v>"default_value":"no",</v>
      </c>
      <c r="R169" t="str">
        <f t="shared" si="26"/>
        <v>"docs_url":"https://looker.com/docs/r/lookml/types/dimension_group/hidden?version=7.14&amp;lookml=new",</v>
      </c>
      <c r="S169" t="str">
        <f t="shared" si="27"/>
        <v>"has_allowed_values":False,</v>
      </c>
      <c r="T169" t="str">
        <f t="shared" si="28"/>
        <v>"allowed_values":""</v>
      </c>
    </row>
    <row r="170" spans="1:20" ht="13" hidden="1" x14ac:dyDescent="0.15">
      <c r="A170" s="7">
        <v>181</v>
      </c>
      <c r="B170" s="6" t="s">
        <v>23</v>
      </c>
      <c r="C170" s="6" t="s">
        <v>123</v>
      </c>
      <c r="D170" s="4" t="s">
        <v>29</v>
      </c>
      <c r="E170" s="4" t="s">
        <v>0</v>
      </c>
      <c r="F170" s="4">
        <v>2</v>
      </c>
      <c r="G170" s="4" t="s">
        <v>591</v>
      </c>
      <c r="H170" s="4" t="s">
        <v>305</v>
      </c>
      <c r="I170" s="4" t="b">
        <v>0</v>
      </c>
      <c r="K170" s="4" t="b">
        <f>IF(COUNTIF($B$2:$B170,B170)&gt;1,TRUE,FALSE)</f>
        <v>1</v>
      </c>
      <c r="L170" t="str">
        <f t="shared" si="21"/>
        <v>p["label"].update({"dimension_group":{"type":"string","subtype":"possibly-localized-string","indent":2,"default_value":"","docs_url":"https://looker.com/docs/r/lookml/types/dimension_group/label?version=7.14&amp;lookml=new","has_allowed_values":False,"allowed_values":""}})</v>
      </c>
      <c r="M170" t="str">
        <f t="shared" si="22"/>
        <v>{"label":{"dimension_group":{"type":"string","subtype":"possibly-localized-string","indent":2,"default_value":"","docs_url":"https://looker.com/docs/r/lookml/types/dimension_group/label?version=7.14&amp;lookml=new","has_allowed_values":False,"allowed_values":""}}}</v>
      </c>
      <c r="N170" t="str">
        <f t="shared" si="23"/>
        <v>"type":"string",</v>
      </c>
      <c r="O170" t="str">
        <f t="shared" si="24"/>
        <v>"subtype":"possibly-localized-string",</v>
      </c>
      <c r="P170" t="str">
        <f t="shared" si="25"/>
        <v>"indent":2,</v>
      </c>
      <c r="Q170" t="str">
        <f t="shared" si="29"/>
        <v>"default_value":"",</v>
      </c>
      <c r="R170" t="str">
        <f t="shared" si="26"/>
        <v>"docs_url":"https://looker.com/docs/r/lookml/types/dimension_group/label?version=7.14&amp;lookml=new",</v>
      </c>
      <c r="S170" t="str">
        <f t="shared" si="27"/>
        <v>"has_allowed_values":False,</v>
      </c>
      <c r="T170" t="str">
        <f t="shared" si="28"/>
        <v>"allowed_values":""</v>
      </c>
    </row>
    <row r="171" spans="1:20" ht="13" hidden="1" x14ac:dyDescent="0.15">
      <c r="A171" s="7">
        <v>182</v>
      </c>
      <c r="B171" s="6" t="s">
        <v>31</v>
      </c>
      <c r="C171" s="6" t="s">
        <v>123</v>
      </c>
      <c r="D171" s="4" t="s">
        <v>610</v>
      </c>
      <c r="E171" s="4" t="s">
        <v>595</v>
      </c>
      <c r="F171" s="4">
        <v>2</v>
      </c>
      <c r="H171" s="4" t="s">
        <v>306</v>
      </c>
      <c r="I171" s="4" t="b">
        <v>0</v>
      </c>
      <c r="K171" s="4" t="b">
        <f>IF(COUNTIF($B$2:$B171,B171)&gt;1,TRUE,FALSE)</f>
        <v>1</v>
      </c>
      <c r="L171" t="str">
        <f t="shared" si="21"/>
        <v>p["required_access_grants"].update({"dimension_group":{"type":"list_unquoted","subtype":"access-grant-ref","indent":2,"default_value":"","docs_url":"https://looker.com/docs/r/lookml/types/dimension_group/required_access_grants?version=7.14&amp;lookml=new","has_allowed_values":False,"allowed_values":""}})</v>
      </c>
      <c r="M171" t="str">
        <f t="shared" si="22"/>
        <v>{"required_access_grants":{"dimension_group":{"type":"list_unquoted","subtype":"access-grant-ref","indent":2,"default_value":"","docs_url":"https://looker.com/docs/r/lookml/types/dimension_group/required_access_grants?version=7.14&amp;lookml=new","has_allowed_values":False,"allowed_values":""}}}</v>
      </c>
      <c r="N171" t="str">
        <f t="shared" si="23"/>
        <v>"type":"list_unquoted",</v>
      </c>
      <c r="O171" t="str">
        <f t="shared" si="24"/>
        <v>"subtype":"access-grant-ref",</v>
      </c>
      <c r="P171" t="str">
        <f t="shared" si="25"/>
        <v>"indent":2,</v>
      </c>
      <c r="Q171" t="str">
        <f t="shared" si="29"/>
        <v>"default_value":"",</v>
      </c>
      <c r="R171" t="str">
        <f t="shared" si="26"/>
        <v>"docs_url":"https://looker.com/docs/r/lookml/types/dimension_group/required_access_grants?version=7.14&amp;lookml=new",</v>
      </c>
      <c r="S171" t="str">
        <f t="shared" si="27"/>
        <v>"has_allowed_values":False,</v>
      </c>
      <c r="T171" t="str">
        <f t="shared" si="28"/>
        <v>"allowed_values":""</v>
      </c>
    </row>
    <row r="172" spans="1:20" ht="13" hidden="1" x14ac:dyDescent="0.15">
      <c r="A172" s="7">
        <v>183</v>
      </c>
      <c r="B172" s="6" t="s">
        <v>45</v>
      </c>
      <c r="C172" s="6" t="s">
        <v>123</v>
      </c>
      <c r="D172" s="4" t="s">
        <v>568</v>
      </c>
      <c r="E172" s="4" t="s">
        <v>568</v>
      </c>
      <c r="F172" s="4">
        <v>2</v>
      </c>
      <c r="G172" s="4" t="s">
        <v>604</v>
      </c>
      <c r="H172" s="4" t="s">
        <v>307</v>
      </c>
      <c r="I172" s="4" t="b">
        <v>0</v>
      </c>
      <c r="K172" s="4" t="b">
        <f>IF(COUNTIF($B$2:$B172,B172)&gt;1,TRUE,FALSE)</f>
        <v>1</v>
      </c>
      <c r="L172" t="str">
        <f t="shared" si="21"/>
        <v>p["suggestable"].update({"dimension_group":{"type":"yesno","subtype":"yesno","indent":2,"default_value":"yes","docs_url":"https://looker.com/docs/r/lookml/types/dimension_group/suggestable?version=7.14&amp;lookml=new","has_allowed_values":False,"allowed_values":""}})</v>
      </c>
      <c r="M172" t="str">
        <f t="shared" si="22"/>
        <v>{"suggestable":{"dimension_group":{"type":"yesno","subtype":"yesno","indent":2,"default_value":"yes","docs_url":"https://looker.com/docs/r/lookml/types/dimension_group/suggestable?version=7.14&amp;lookml=new","has_allowed_values":False,"allowed_values":""}}}</v>
      </c>
      <c r="N172" t="str">
        <f t="shared" si="23"/>
        <v>"type":"yesno",</v>
      </c>
      <c r="O172" t="str">
        <f t="shared" si="24"/>
        <v>"subtype":"yesno",</v>
      </c>
      <c r="P172" t="str">
        <f t="shared" si="25"/>
        <v>"indent":2,</v>
      </c>
      <c r="Q172" t="str">
        <f t="shared" si="29"/>
        <v>"default_value":"yes",</v>
      </c>
      <c r="R172" t="str">
        <f t="shared" si="26"/>
        <v>"docs_url":"https://looker.com/docs/r/lookml/types/dimension_group/suggestable?version=7.14&amp;lookml=new",</v>
      </c>
      <c r="S172" t="str">
        <f t="shared" si="27"/>
        <v>"has_allowed_values":False,</v>
      </c>
      <c r="T172" t="str">
        <f t="shared" si="28"/>
        <v>"allowed_values":""</v>
      </c>
    </row>
    <row r="173" spans="1:20" ht="13" hidden="1" x14ac:dyDescent="0.15">
      <c r="A173" s="7">
        <v>184</v>
      </c>
      <c r="B173" s="6" t="s">
        <v>47</v>
      </c>
      <c r="C173" s="6" t="s">
        <v>123</v>
      </c>
      <c r="D173" s="4" t="s">
        <v>597</v>
      </c>
      <c r="E173" s="4" t="s">
        <v>597</v>
      </c>
      <c r="F173" s="4">
        <v>2</v>
      </c>
      <c r="H173" s="4" t="s">
        <v>308</v>
      </c>
      <c r="I173" s="4" t="b">
        <v>0</v>
      </c>
      <c r="K173" s="4" t="b">
        <f>IF(COUNTIF($B$2:$B173,B173)&gt;1,TRUE,FALSE)</f>
        <v>1</v>
      </c>
      <c r="L173" t="str">
        <f t="shared" si="21"/>
        <v>p["tags"].update({"dimension_group":{"type":"list_quoted","subtype":"list_quoted","indent":2,"default_value":"","docs_url":"https://looker.com/docs/r/lookml/types/dimension_group/tags?version=7.14&amp;lookml=new","has_allowed_values":False,"allowed_values":""}})</v>
      </c>
      <c r="M173" t="str">
        <f t="shared" si="22"/>
        <v>{"tags":{"dimension_group":{"type":"list_quoted","subtype":"list_quoted","indent":2,"default_value":"","docs_url":"https://looker.com/docs/r/lookml/types/dimension_group/tags?version=7.14&amp;lookml=new","has_allowed_values":False,"allowed_values":""}}}</v>
      </c>
      <c r="N173" t="str">
        <f t="shared" si="23"/>
        <v>"type":"list_quoted",</v>
      </c>
      <c r="O173" t="str">
        <f t="shared" si="24"/>
        <v>"subtype":"list_quoted",</v>
      </c>
      <c r="P173" t="str">
        <f t="shared" si="25"/>
        <v>"indent":2,</v>
      </c>
      <c r="Q173" t="str">
        <f t="shared" si="29"/>
        <v>"default_value":"",</v>
      </c>
      <c r="R173" t="str">
        <f t="shared" si="26"/>
        <v>"docs_url":"https://looker.com/docs/r/lookml/types/dimension_group/tags?version=7.14&amp;lookml=new",</v>
      </c>
      <c r="S173" t="str">
        <f t="shared" si="27"/>
        <v>"has_allowed_values":False,</v>
      </c>
      <c r="T173" t="str">
        <f t="shared" si="28"/>
        <v>"allowed_values":""</v>
      </c>
    </row>
    <row r="174" spans="1:20" ht="13" hidden="1" x14ac:dyDescent="0.15">
      <c r="A174" s="7">
        <v>185</v>
      </c>
      <c r="B174" s="6" t="s">
        <v>49</v>
      </c>
      <c r="C174" s="6" t="s">
        <v>123</v>
      </c>
      <c r="D174" s="4" t="s">
        <v>550</v>
      </c>
      <c r="E174" s="4" t="s">
        <v>550</v>
      </c>
      <c r="F174" s="4">
        <v>2</v>
      </c>
      <c r="G174" s="4" t="s">
        <v>567</v>
      </c>
      <c r="H174" s="4" t="s">
        <v>309</v>
      </c>
      <c r="I174" s="4" t="b">
        <v>1</v>
      </c>
      <c r="J174" s="4" t="s">
        <v>589</v>
      </c>
      <c r="K174" s="4" t="b">
        <f>IF(COUNTIF($B$2:$B174,B174)&gt;1,TRUE,FALSE)</f>
        <v>1</v>
      </c>
      <c r="L174" t="str">
        <f t="shared" si="21"/>
        <v>p["type"].update({"dimension_group":{"type":"options","subtype":"options","indent":2,"default_value":"time","docs_url":"https://looker.com/docs/r/lookml/types/dimension_group/type?version=7.14&amp;lookml=new","has_allowed_values":True,"allowed_values":["duration","time"]}})</v>
      </c>
      <c r="M174" t="str">
        <f t="shared" si="22"/>
        <v>{"type":{"dimension_group":{"type":"options","subtype":"options","indent":2,"default_value":"time","docs_url":"https://looker.com/docs/r/lookml/types/dimension_group/type?version=7.14&amp;lookml=new","has_allowed_values":True,"allowed_values":["duration","time"]}}}</v>
      </c>
      <c r="N174" t="str">
        <f t="shared" si="23"/>
        <v>"type":"options",</v>
      </c>
      <c r="O174" t="str">
        <f t="shared" si="24"/>
        <v>"subtype":"options",</v>
      </c>
      <c r="P174" t="str">
        <f t="shared" si="25"/>
        <v>"indent":2,</v>
      </c>
      <c r="Q174" t="str">
        <f t="shared" si="29"/>
        <v>"default_value":"time",</v>
      </c>
      <c r="R174" t="str">
        <f t="shared" si="26"/>
        <v>"docs_url":"https://looker.com/docs/r/lookml/types/dimension_group/type?version=7.14&amp;lookml=new",</v>
      </c>
      <c r="S174" t="str">
        <f t="shared" si="27"/>
        <v>"has_allowed_values":True,</v>
      </c>
      <c r="T174" t="str">
        <f t="shared" si="28"/>
        <v>"allowed_values":["duration","time"]</v>
      </c>
    </row>
    <row r="175" spans="1:20" ht="13" hidden="1" x14ac:dyDescent="0.15">
      <c r="A175" s="7">
        <v>186</v>
      </c>
      <c r="B175" s="6" t="s">
        <v>42</v>
      </c>
      <c r="C175" s="6" t="s">
        <v>123</v>
      </c>
      <c r="D175" s="4" t="s">
        <v>17</v>
      </c>
      <c r="E175" s="1" t="s">
        <v>598</v>
      </c>
      <c r="F175" s="4">
        <v>2</v>
      </c>
      <c r="H175" s="4" t="s">
        <v>310</v>
      </c>
      <c r="I175" s="4" t="b">
        <v>0</v>
      </c>
      <c r="K175" s="4" t="b">
        <f>IF(COUNTIF($B$2:$B175,B175)&gt;1,TRUE,FALSE)</f>
        <v>1</v>
      </c>
      <c r="L175" t="str">
        <f t="shared" si="21"/>
        <v>p["suggest_dimension"].update({"dimension_group":{"type":"string_unquoted","subtype":"field-ref","indent":2,"default_value":"","docs_url":"https://looker.com/docs/r/lookml/types/dimension_group/suggest_dimension?version=7.14&amp;lookml=new","has_allowed_values":False,"allowed_values":""}})</v>
      </c>
      <c r="M175" t="str">
        <f t="shared" si="22"/>
        <v>{"suggest_dimension":{"dimension_group":{"type":"string_unquoted","subtype":"field-ref","indent":2,"default_value":"","docs_url":"https://looker.com/docs/r/lookml/types/dimension_group/suggest_dimension?version=7.14&amp;lookml=new","has_allowed_values":False,"allowed_values":""}}}</v>
      </c>
      <c r="N175" t="str">
        <f t="shared" si="23"/>
        <v>"type":"string_unquoted",</v>
      </c>
      <c r="O175" t="str">
        <f t="shared" si="24"/>
        <v>"subtype":"field-ref",</v>
      </c>
      <c r="P175" t="str">
        <f t="shared" si="25"/>
        <v>"indent":2,</v>
      </c>
      <c r="Q175" t="str">
        <f t="shared" si="29"/>
        <v>"default_value":"",</v>
      </c>
      <c r="R175" t="str">
        <f t="shared" si="26"/>
        <v>"docs_url":"https://looker.com/docs/r/lookml/types/dimension_group/suggest_dimension?version=7.14&amp;lookml=new",</v>
      </c>
      <c r="S175" t="str">
        <f t="shared" si="27"/>
        <v>"has_allowed_values":False,</v>
      </c>
      <c r="T175" t="str">
        <f t="shared" si="28"/>
        <v>"allowed_values":""</v>
      </c>
    </row>
    <row r="176" spans="1:20" ht="13" hidden="1" x14ac:dyDescent="0.15">
      <c r="A176" s="7">
        <v>187</v>
      </c>
      <c r="B176" s="6" t="s">
        <v>43</v>
      </c>
      <c r="C176" s="6" t="s">
        <v>123</v>
      </c>
      <c r="D176" s="4" t="s">
        <v>15</v>
      </c>
      <c r="E176" s="1" t="s">
        <v>598</v>
      </c>
      <c r="F176" s="4">
        <v>2</v>
      </c>
      <c r="H176" s="4" t="s">
        <v>311</v>
      </c>
      <c r="I176" s="4" t="b">
        <v>0</v>
      </c>
      <c r="K176" s="4" t="b">
        <f>IF(COUNTIF($B$2:$B176,B176)&gt;1,TRUE,FALSE)</f>
        <v>1</v>
      </c>
      <c r="L176" t="str">
        <f t="shared" si="21"/>
        <v>p["suggest_explore"].update({"dimension_group":{"type":"string_unquoted","subtype":"explore-ref","indent":2,"default_value":"","docs_url":"https://looker.com/docs/r/lookml/types/dimension_group/suggest_explore?version=7.14&amp;lookml=new","has_allowed_values":False,"allowed_values":""}})</v>
      </c>
      <c r="M176" t="str">
        <f t="shared" si="22"/>
        <v>{"suggest_explore":{"dimension_group":{"type":"string_unquoted","subtype":"explore-ref","indent":2,"default_value":"","docs_url":"https://looker.com/docs/r/lookml/types/dimension_group/suggest_explore?version=7.14&amp;lookml=new","has_allowed_values":False,"allowed_values":""}}}</v>
      </c>
      <c r="N176" t="str">
        <f t="shared" si="23"/>
        <v>"type":"string_unquoted",</v>
      </c>
      <c r="O176" t="str">
        <f t="shared" si="24"/>
        <v>"subtype":"explore-ref",</v>
      </c>
      <c r="P176" t="str">
        <f t="shared" si="25"/>
        <v>"indent":2,</v>
      </c>
      <c r="Q176" t="str">
        <f t="shared" si="29"/>
        <v>"default_value":"",</v>
      </c>
      <c r="R176" t="str">
        <f t="shared" si="26"/>
        <v>"docs_url":"https://looker.com/docs/r/lookml/types/dimension_group/suggest_explore?version=7.14&amp;lookml=new",</v>
      </c>
      <c r="S176" t="str">
        <f t="shared" si="27"/>
        <v>"has_allowed_values":False,</v>
      </c>
      <c r="T176" t="str">
        <f t="shared" si="28"/>
        <v>"allowed_values":""</v>
      </c>
    </row>
    <row r="177" spans="1:20" ht="13" hidden="1" x14ac:dyDescent="0.15">
      <c r="A177" s="7">
        <v>188</v>
      </c>
      <c r="B177" s="6" t="s">
        <v>54</v>
      </c>
      <c r="C177" s="6" t="s">
        <v>123</v>
      </c>
      <c r="D177" s="4" t="s">
        <v>29</v>
      </c>
      <c r="E177" s="4" t="s">
        <v>0</v>
      </c>
      <c r="F177" s="4">
        <v>2</v>
      </c>
      <c r="G177" s="4" t="s">
        <v>591</v>
      </c>
      <c r="H177" s="4" t="s">
        <v>312</v>
      </c>
      <c r="I177" s="4" t="b">
        <v>0</v>
      </c>
      <c r="K177" s="4" t="b">
        <f>IF(COUNTIF($B$2:$B177,B177)&gt;1,TRUE,FALSE)</f>
        <v>1</v>
      </c>
      <c r="L177" t="str">
        <f t="shared" si="21"/>
        <v>p["view_label"].update({"dimension_group":{"type":"string","subtype":"possibly-localized-string","indent":2,"default_value":"","docs_url":"https://looker.com/docs/r/lookml/types/dimension_group/view_label?version=7.14&amp;lookml=new","has_allowed_values":False,"allowed_values":""}})</v>
      </c>
      <c r="M177" t="str">
        <f t="shared" si="22"/>
        <v>{"view_label":{"dimension_group":{"type":"string","subtype":"possibly-localized-string","indent":2,"default_value":"","docs_url":"https://looker.com/docs/r/lookml/types/dimension_group/view_label?version=7.14&amp;lookml=new","has_allowed_values":False,"allowed_values":""}}}</v>
      </c>
      <c r="N177" t="str">
        <f t="shared" si="23"/>
        <v>"type":"string",</v>
      </c>
      <c r="O177" t="str">
        <f t="shared" si="24"/>
        <v>"subtype":"possibly-localized-string",</v>
      </c>
      <c r="P177" t="str">
        <f t="shared" si="25"/>
        <v>"indent":2,</v>
      </c>
      <c r="Q177" t="str">
        <f t="shared" si="29"/>
        <v>"default_value":"",</v>
      </c>
      <c r="R177" t="str">
        <f t="shared" si="26"/>
        <v>"docs_url":"https://looker.com/docs/r/lookml/types/dimension_group/view_label?version=7.14&amp;lookml=new",</v>
      </c>
      <c r="S177" t="str">
        <f t="shared" si="27"/>
        <v>"has_allowed_values":False,</v>
      </c>
      <c r="T177" t="str">
        <f t="shared" si="28"/>
        <v>"allowed_values":""</v>
      </c>
    </row>
    <row r="178" spans="1:20" ht="13" hidden="1" x14ac:dyDescent="0.15">
      <c r="A178" s="7">
        <v>191</v>
      </c>
      <c r="B178" s="6" t="s">
        <v>5</v>
      </c>
      <c r="C178" s="6" t="s">
        <v>124</v>
      </c>
      <c r="D178" s="4" t="s">
        <v>568</v>
      </c>
      <c r="E178" s="4" t="s">
        <v>568</v>
      </c>
      <c r="F178" s="4">
        <v>2</v>
      </c>
      <c r="G178" s="4" t="s">
        <v>603</v>
      </c>
      <c r="H178" s="4" t="s">
        <v>313</v>
      </c>
      <c r="I178" s="4" t="b">
        <v>0</v>
      </c>
      <c r="K178" s="4" t="b">
        <f>IF(COUNTIF($B$2:$B178,B178)&gt;1,TRUE,FALSE)</f>
        <v>1</v>
      </c>
      <c r="L178" t="str">
        <f t="shared" si="21"/>
        <v>p["bypass_suggest_restrictions"].update({"filter":{"type":"yesno","subtype":"yesno","indent":2,"default_value":"no","docs_url":"https://looker.com/docs/r/lookml/types/filter/bypass_suggest_restrictions?version=7.14&amp;lookml=new","has_allowed_values":False,"allowed_values":""}})</v>
      </c>
      <c r="M178" t="str">
        <f t="shared" si="22"/>
        <v>{"bypass_suggest_restrictions":{"filter":{"type":"yesno","subtype":"yesno","indent":2,"default_value":"no","docs_url":"https://looker.com/docs/r/lookml/types/filter/bypass_suggest_restrictions?version=7.14&amp;lookml=new","has_allowed_values":False,"allowed_values":""}}}</v>
      </c>
      <c r="N178" t="str">
        <f t="shared" si="23"/>
        <v>"type":"yesno",</v>
      </c>
      <c r="O178" t="str">
        <f t="shared" si="24"/>
        <v>"subtype":"yesno",</v>
      </c>
      <c r="P178" t="str">
        <f t="shared" si="25"/>
        <v>"indent":2,</v>
      </c>
      <c r="Q178" t="str">
        <f t="shared" si="29"/>
        <v>"default_value":"no",</v>
      </c>
      <c r="R178" t="str">
        <f t="shared" si="26"/>
        <v>"docs_url":"https://looker.com/docs/r/lookml/types/filter/bypass_suggest_restrictions?version=7.14&amp;lookml=new",</v>
      </c>
      <c r="S178" t="str">
        <f t="shared" si="27"/>
        <v>"has_allowed_values":False,</v>
      </c>
      <c r="T178" t="str">
        <f t="shared" si="28"/>
        <v>"allowed_values":""</v>
      </c>
    </row>
    <row r="179" spans="1:20" ht="13" hidden="1" x14ac:dyDescent="0.15">
      <c r="A179" s="7">
        <v>192</v>
      </c>
      <c r="B179" s="6" t="s">
        <v>8</v>
      </c>
      <c r="C179" s="6" t="s">
        <v>124</v>
      </c>
      <c r="D179" s="4" t="s">
        <v>568</v>
      </c>
      <c r="E179" s="4" t="s">
        <v>568</v>
      </c>
      <c r="F179" s="4">
        <v>2</v>
      </c>
      <c r="G179" s="4" t="s">
        <v>604</v>
      </c>
      <c r="H179" s="4" t="s">
        <v>314</v>
      </c>
      <c r="I179" s="4" t="b">
        <v>0</v>
      </c>
      <c r="K179" s="4" t="b">
        <f>IF(COUNTIF($B$2:$B179,B179)&gt;1,TRUE,FALSE)</f>
        <v>1</v>
      </c>
      <c r="L179" t="str">
        <f t="shared" si="21"/>
        <v>p["case_sensitive"].update({"filter":{"type":"yesno","subtype":"yesno","indent":2,"default_value":"yes","docs_url":"https://looker.com/docs/r/lookml/types/filter/case_sensitive?version=7.14&amp;lookml=new","has_allowed_values":False,"allowed_values":""}})</v>
      </c>
      <c r="M179" t="str">
        <f t="shared" si="22"/>
        <v>{"case_sensitive":{"filter":{"type":"yesno","subtype":"yesno","indent":2,"default_value":"yes","docs_url":"https://looker.com/docs/r/lookml/types/filter/case_sensitive?version=7.14&amp;lookml=new","has_allowed_values":False,"allowed_values":""}}}</v>
      </c>
      <c r="N179" t="str">
        <f t="shared" si="23"/>
        <v>"type":"yesno",</v>
      </c>
      <c r="O179" t="str">
        <f t="shared" si="24"/>
        <v>"subtype":"yesno",</v>
      </c>
      <c r="P179" t="str">
        <f t="shared" si="25"/>
        <v>"indent":2,</v>
      </c>
      <c r="Q179" t="str">
        <f t="shared" si="29"/>
        <v>"default_value":"yes",</v>
      </c>
      <c r="R179" t="str">
        <f t="shared" si="26"/>
        <v>"docs_url":"https://looker.com/docs/r/lookml/types/filter/case_sensitive?version=7.14&amp;lookml=new",</v>
      </c>
      <c r="S179" t="str">
        <f t="shared" si="27"/>
        <v>"has_allowed_values":False,</v>
      </c>
      <c r="T179" t="str">
        <f t="shared" si="28"/>
        <v>"allowed_values":""</v>
      </c>
    </row>
    <row r="180" spans="1:20" ht="13" hidden="1" x14ac:dyDescent="0.15">
      <c r="A180" s="7">
        <v>193</v>
      </c>
      <c r="B180" s="6" t="s">
        <v>10</v>
      </c>
      <c r="C180" s="6" t="s">
        <v>124</v>
      </c>
      <c r="D180" s="4" t="s">
        <v>550</v>
      </c>
      <c r="E180" s="4" t="s">
        <v>550</v>
      </c>
      <c r="F180" s="4">
        <v>2</v>
      </c>
      <c r="G180" s="4" t="s">
        <v>574</v>
      </c>
      <c r="H180" s="4" t="s">
        <v>315</v>
      </c>
      <c r="I180" s="4" t="b">
        <v>1</v>
      </c>
      <c r="J180" s="4" t="s">
        <v>575</v>
      </c>
      <c r="K180" s="4" t="b">
        <f>IF(COUNTIF($B$2:$B180,B180)&gt;1,TRUE,FALSE)</f>
        <v>1</v>
      </c>
      <c r="L180" t="str">
        <f t="shared" si="21"/>
        <v>p["datatype"].update({"filter":{"type":"options","subtype":"options","indent":2,"default_value":"timestamp","docs_url":"https://looker.com/docs/r/lookml/types/filter/datatype?version=7.14&amp;lookml=new","has_allowed_values":True,"allowed_values":["timestamp","epoch","date","datetime","timestamp", "yyyymmdd"]}})</v>
      </c>
      <c r="M180" t="str">
        <f t="shared" si="22"/>
        <v>{"datatype":{"filter":{"type":"options","subtype":"options","indent":2,"default_value":"timestamp","docs_url":"https://looker.com/docs/r/lookml/types/filter/datatype?version=7.14&amp;lookml=new","has_allowed_values":True,"allowed_values":["timestamp","epoch","date","datetime","timestamp", "yyyymmdd"]}}}</v>
      </c>
      <c r="N180" t="str">
        <f t="shared" si="23"/>
        <v>"type":"options",</v>
      </c>
      <c r="O180" t="str">
        <f t="shared" si="24"/>
        <v>"subtype":"options",</v>
      </c>
      <c r="P180" t="str">
        <f t="shared" si="25"/>
        <v>"indent":2,</v>
      </c>
      <c r="Q180" t="str">
        <f t="shared" si="29"/>
        <v>"default_value":"timestamp",</v>
      </c>
      <c r="R180" t="str">
        <f t="shared" si="26"/>
        <v>"docs_url":"https://looker.com/docs/r/lookml/types/filter/datatype?version=7.14&amp;lookml=new",</v>
      </c>
      <c r="S180" t="str">
        <f t="shared" si="27"/>
        <v>"has_allowed_values":True,</v>
      </c>
      <c r="T180" t="str">
        <f t="shared" si="28"/>
        <v>"allowed_values":["timestamp","epoch","date","datetime","timestamp", "yyyymmdd"]</v>
      </c>
    </row>
    <row r="181" spans="1:20" ht="13" hidden="1" x14ac:dyDescent="0.15">
      <c r="A181" s="7">
        <v>194</v>
      </c>
      <c r="B181" s="6" t="s">
        <v>118</v>
      </c>
      <c r="C181" s="6" t="s">
        <v>124</v>
      </c>
      <c r="D181" s="4" t="s">
        <v>0</v>
      </c>
      <c r="E181" s="4" t="s">
        <v>0</v>
      </c>
      <c r="F181" s="4">
        <v>2</v>
      </c>
      <c r="G181" s="4" t="s">
        <v>591</v>
      </c>
      <c r="H181" s="4" t="s">
        <v>316</v>
      </c>
      <c r="I181" s="4" t="b">
        <v>0</v>
      </c>
      <c r="K181" s="4" t="b">
        <f>IF(COUNTIF($B$2:$B181,B181)&gt;1,TRUE,FALSE)</f>
        <v>0</v>
      </c>
      <c r="L181" t="str">
        <f t="shared" si="21"/>
        <v>p.update({"default_value":{"filter":{"type":"string","subtype":"string","indent":2,"default_value":"","docs_url":"https://looker.com/docs/r/lookml/types/filter/default_value?version=7.14&amp;lookml=new","has_allowed_values":False,"allowed_values":""}}})</v>
      </c>
      <c r="M181" t="str">
        <f t="shared" si="22"/>
        <v>{"default_value":{"filter":{"type":"string","subtype":"string","indent":2,"default_value":"","docs_url":"https://looker.com/docs/r/lookml/types/filter/default_value?version=7.14&amp;lookml=new","has_allowed_values":False,"allowed_values":""}}}</v>
      </c>
      <c r="N181" t="str">
        <f t="shared" si="23"/>
        <v>"type":"string",</v>
      </c>
      <c r="O181" t="str">
        <f t="shared" si="24"/>
        <v>"subtype":"string",</v>
      </c>
      <c r="P181" t="str">
        <f t="shared" si="25"/>
        <v>"indent":2,</v>
      </c>
      <c r="Q181" t="str">
        <f t="shared" si="29"/>
        <v>"default_value":"",</v>
      </c>
      <c r="R181" t="str">
        <f t="shared" si="26"/>
        <v>"docs_url":"https://looker.com/docs/r/lookml/types/filter/default_value?version=7.14&amp;lookml=new",</v>
      </c>
      <c r="S181" t="str">
        <f t="shared" si="27"/>
        <v>"has_allowed_values":False,</v>
      </c>
      <c r="T181" t="str">
        <f t="shared" si="28"/>
        <v>"allowed_values":""</v>
      </c>
    </row>
    <row r="182" spans="1:20" ht="13" hidden="1" x14ac:dyDescent="0.15">
      <c r="A182" s="7">
        <v>195</v>
      </c>
      <c r="B182" s="6" t="s">
        <v>18</v>
      </c>
      <c r="C182" s="6" t="s">
        <v>124</v>
      </c>
      <c r="D182" s="4" t="s">
        <v>568</v>
      </c>
      <c r="E182" s="4" t="s">
        <v>568</v>
      </c>
      <c r="F182" s="4">
        <v>2</v>
      </c>
      <c r="G182" s="4" t="s">
        <v>604</v>
      </c>
      <c r="H182" s="4" t="s">
        <v>317</v>
      </c>
      <c r="I182" s="4" t="b">
        <v>0</v>
      </c>
      <c r="K182" s="4" t="b">
        <f>IF(COUNTIF($B$2:$B182,B182)&gt;1,TRUE,FALSE)</f>
        <v>1</v>
      </c>
      <c r="L182" t="str">
        <f t="shared" si="21"/>
        <v>p["full_suggestions"].update({"filter":{"type":"yesno","subtype":"yesno","indent":2,"default_value":"yes","docs_url":"https://looker.com/docs/r/lookml/types/filter/full_suggestions?version=7.14&amp;lookml=new","has_allowed_values":False,"allowed_values":""}})</v>
      </c>
      <c r="M182" t="str">
        <f t="shared" si="22"/>
        <v>{"full_suggestions":{"filter":{"type":"yesno","subtype":"yesno","indent":2,"default_value":"yes","docs_url":"https://looker.com/docs/r/lookml/types/filter/full_suggestions?version=7.14&amp;lookml=new","has_allowed_values":False,"allowed_values":""}}}</v>
      </c>
      <c r="N182" t="str">
        <f t="shared" si="23"/>
        <v>"type":"yesno",</v>
      </c>
      <c r="O182" t="str">
        <f t="shared" si="24"/>
        <v>"subtype":"yesno",</v>
      </c>
      <c r="P182" t="str">
        <f t="shared" si="25"/>
        <v>"indent":2,</v>
      </c>
      <c r="Q182" t="str">
        <f t="shared" si="29"/>
        <v>"default_value":"yes",</v>
      </c>
      <c r="R182" t="str">
        <f t="shared" si="26"/>
        <v>"docs_url":"https://looker.com/docs/r/lookml/types/filter/full_suggestions?version=7.14&amp;lookml=new",</v>
      </c>
      <c r="S182" t="str">
        <f t="shared" si="27"/>
        <v>"has_allowed_values":False,</v>
      </c>
      <c r="T182" t="str">
        <f t="shared" si="28"/>
        <v>"allowed_values":""</v>
      </c>
    </row>
    <row r="183" spans="1:20" ht="13" hidden="1" x14ac:dyDescent="0.15">
      <c r="A183" s="7">
        <v>196</v>
      </c>
      <c r="B183" s="6" t="s">
        <v>20</v>
      </c>
      <c r="C183" s="6" t="s">
        <v>124</v>
      </c>
      <c r="D183" s="4" t="s">
        <v>29</v>
      </c>
      <c r="E183" s="4" t="s">
        <v>0</v>
      </c>
      <c r="F183" s="4">
        <v>2</v>
      </c>
      <c r="G183" s="4" t="s">
        <v>591</v>
      </c>
      <c r="H183" s="4" t="s">
        <v>318</v>
      </c>
      <c r="I183" s="4" t="b">
        <v>0</v>
      </c>
      <c r="K183" s="4" t="b">
        <f>IF(COUNTIF($B$2:$B183,B183)&gt;1,TRUE,FALSE)</f>
        <v>1</v>
      </c>
      <c r="L183" t="str">
        <f t="shared" si="21"/>
        <v>p["group_label"].update({"filter":{"type":"string","subtype":"possibly-localized-string","indent":2,"default_value":"","docs_url":"https://looker.com/docs/r/lookml/types/filter/group_label?version=7.14&amp;lookml=new","has_allowed_values":False,"allowed_values":""}})</v>
      </c>
      <c r="M183" t="str">
        <f t="shared" si="22"/>
        <v>{"group_label":{"filter":{"type":"string","subtype":"possibly-localized-string","indent":2,"default_value":"","docs_url":"https://looker.com/docs/r/lookml/types/filter/group_label?version=7.14&amp;lookml=new","has_allowed_values":False,"allowed_values":""}}}</v>
      </c>
      <c r="N183" t="str">
        <f t="shared" si="23"/>
        <v>"type":"string",</v>
      </c>
      <c r="O183" t="str">
        <f t="shared" si="24"/>
        <v>"subtype":"possibly-localized-string",</v>
      </c>
      <c r="P183" t="str">
        <f t="shared" si="25"/>
        <v>"indent":2,</v>
      </c>
      <c r="Q183" t="str">
        <f t="shared" si="29"/>
        <v>"default_value":"",</v>
      </c>
      <c r="R183" t="str">
        <f t="shared" si="26"/>
        <v>"docs_url":"https://looker.com/docs/r/lookml/types/filter/group_label?version=7.14&amp;lookml=new",</v>
      </c>
      <c r="S183" t="str">
        <f t="shared" si="27"/>
        <v>"has_allowed_values":False,</v>
      </c>
      <c r="T183" t="str">
        <f t="shared" si="28"/>
        <v>"allowed_values":""</v>
      </c>
    </row>
    <row r="184" spans="1:20" ht="13" hidden="1" x14ac:dyDescent="0.15">
      <c r="A184" s="7">
        <v>197</v>
      </c>
      <c r="B184" s="6" t="s">
        <v>19</v>
      </c>
      <c r="C184" s="6" t="s">
        <v>124</v>
      </c>
      <c r="D184" s="4" t="s">
        <v>29</v>
      </c>
      <c r="E184" s="4" t="s">
        <v>0</v>
      </c>
      <c r="F184" s="4">
        <v>2</v>
      </c>
      <c r="G184" s="4" t="s">
        <v>591</v>
      </c>
      <c r="H184" s="4" t="s">
        <v>319</v>
      </c>
      <c r="I184" s="4" t="b">
        <v>0</v>
      </c>
      <c r="K184" s="4" t="b">
        <f>IF(COUNTIF($B$2:$B184,B184)&gt;1,TRUE,FALSE)</f>
        <v>1</v>
      </c>
      <c r="L184" t="str">
        <f t="shared" si="21"/>
        <v>p["group_item_label"].update({"filter":{"type":"string","subtype":"possibly-localized-string","indent":2,"default_value":"","docs_url":"https://looker.com/docs/r/lookml/types/filter/group_item_label?version=7.14&amp;lookml=new","has_allowed_values":False,"allowed_values":""}})</v>
      </c>
      <c r="M184" t="str">
        <f t="shared" si="22"/>
        <v>{"group_item_label":{"filter":{"type":"string","subtype":"possibly-localized-string","indent":2,"default_value":"","docs_url":"https://looker.com/docs/r/lookml/types/filter/group_item_label?version=7.14&amp;lookml=new","has_allowed_values":False,"allowed_values":""}}}</v>
      </c>
      <c r="N184" t="str">
        <f t="shared" si="23"/>
        <v>"type":"string",</v>
      </c>
      <c r="O184" t="str">
        <f t="shared" si="24"/>
        <v>"subtype":"possibly-localized-string",</v>
      </c>
      <c r="P184" t="str">
        <f t="shared" si="25"/>
        <v>"indent":2,</v>
      </c>
      <c r="Q184" t="str">
        <f t="shared" si="29"/>
        <v>"default_value":"",</v>
      </c>
      <c r="R184" t="str">
        <f t="shared" si="26"/>
        <v>"docs_url":"https://looker.com/docs/r/lookml/types/filter/group_item_label?version=7.14&amp;lookml=new",</v>
      </c>
      <c r="S184" t="str">
        <f t="shared" si="27"/>
        <v>"has_allowed_values":False,</v>
      </c>
      <c r="T184" t="str">
        <f t="shared" si="28"/>
        <v>"allowed_values":""</v>
      </c>
    </row>
    <row r="185" spans="1:20" ht="13" hidden="1" x14ac:dyDescent="0.15">
      <c r="A185" s="7">
        <v>198</v>
      </c>
      <c r="B185" s="6" t="s">
        <v>32</v>
      </c>
      <c r="C185" s="6" t="s">
        <v>124</v>
      </c>
      <c r="D185" s="4" t="s">
        <v>17</v>
      </c>
      <c r="E185" s="4" t="s">
        <v>595</v>
      </c>
      <c r="F185" s="4">
        <v>2</v>
      </c>
      <c r="H185" s="4" t="s">
        <v>320</v>
      </c>
      <c r="I185" s="4" t="b">
        <v>0</v>
      </c>
      <c r="K185" s="4" t="b">
        <f>IF(COUNTIF($B$2:$B185,B185)&gt;1,TRUE,FALSE)</f>
        <v>1</v>
      </c>
      <c r="L185" t="str">
        <f t="shared" si="21"/>
        <v>p["required_fields"].update({"filter":{"type":"list_unquoted","subtype":"field-ref","indent":2,"default_value":"","docs_url":"https://looker.com/docs/r/lookml/types/filter/required_fields?version=7.14&amp;lookml=new","has_allowed_values":False,"allowed_values":""}})</v>
      </c>
      <c r="M185" t="str">
        <f t="shared" si="22"/>
        <v>{"required_fields":{"filter":{"type":"list_unquoted","subtype":"field-ref","indent":2,"default_value":"","docs_url":"https://looker.com/docs/r/lookml/types/filter/required_fields?version=7.14&amp;lookml=new","has_allowed_values":False,"allowed_values":""}}}</v>
      </c>
      <c r="N185" t="str">
        <f t="shared" si="23"/>
        <v>"type":"list_unquoted",</v>
      </c>
      <c r="O185" t="str">
        <f t="shared" si="24"/>
        <v>"subtype":"field-ref",</v>
      </c>
      <c r="P185" t="str">
        <f t="shared" si="25"/>
        <v>"indent":2,</v>
      </c>
      <c r="Q185" t="str">
        <f t="shared" si="29"/>
        <v>"default_value":"",</v>
      </c>
      <c r="R185" t="str">
        <f t="shared" si="26"/>
        <v>"docs_url":"https://looker.com/docs/r/lookml/types/filter/required_fields?version=7.14&amp;lookml=new",</v>
      </c>
      <c r="S185" t="str">
        <f t="shared" si="27"/>
        <v>"has_allowed_values":False,</v>
      </c>
      <c r="T185" t="str">
        <f t="shared" si="28"/>
        <v>"allowed_values":""</v>
      </c>
    </row>
    <row r="186" spans="1:20" ht="13" hidden="1" x14ac:dyDescent="0.15">
      <c r="A186" s="7">
        <v>199</v>
      </c>
      <c r="B186" s="6" t="s">
        <v>46</v>
      </c>
      <c r="C186" s="6" t="s">
        <v>124</v>
      </c>
      <c r="D186" s="4" t="s">
        <v>597</v>
      </c>
      <c r="E186" s="4" t="s">
        <v>597</v>
      </c>
      <c r="F186" s="4">
        <v>2</v>
      </c>
      <c r="H186" s="4" t="s">
        <v>321</v>
      </c>
      <c r="I186" s="4" t="b">
        <v>0</v>
      </c>
      <c r="K186" s="4" t="b">
        <f>IF(COUNTIF($B$2:$B186,B186)&gt;1,TRUE,FALSE)</f>
        <v>1</v>
      </c>
      <c r="L186" t="str">
        <f t="shared" si="21"/>
        <v>p["suggestions"].update({"filter":{"type":"list_quoted","subtype":"list_quoted","indent":2,"default_value":"","docs_url":"https://looker.com/docs/r/lookml/types/filter/suggestions?version=7.14&amp;lookml=new","has_allowed_values":False,"allowed_values":""}})</v>
      </c>
      <c r="M186" t="str">
        <f t="shared" si="22"/>
        <v>{"suggestions":{"filter":{"type":"list_quoted","subtype":"list_quoted","indent":2,"default_value":"","docs_url":"https://looker.com/docs/r/lookml/types/filter/suggestions?version=7.14&amp;lookml=new","has_allowed_values":False,"allowed_values":""}}}</v>
      </c>
      <c r="N186" t="str">
        <f t="shared" si="23"/>
        <v>"type":"list_quoted",</v>
      </c>
      <c r="O186" t="str">
        <f t="shared" si="24"/>
        <v>"subtype":"list_quoted",</v>
      </c>
      <c r="P186" t="str">
        <f t="shared" si="25"/>
        <v>"indent":2,</v>
      </c>
      <c r="Q186" t="str">
        <f t="shared" si="29"/>
        <v>"default_value":"",</v>
      </c>
      <c r="R186" t="str">
        <f t="shared" si="26"/>
        <v>"docs_url":"https://looker.com/docs/r/lookml/types/filter/suggestions?version=7.14&amp;lookml=new",</v>
      </c>
      <c r="S186" t="str">
        <f t="shared" si="27"/>
        <v>"has_allowed_values":False,</v>
      </c>
      <c r="T186" t="str">
        <f t="shared" si="28"/>
        <v>"allowed_values":""</v>
      </c>
    </row>
    <row r="187" spans="1:20" ht="13" hidden="1" x14ac:dyDescent="0.15">
      <c r="A187" s="7">
        <v>200</v>
      </c>
      <c r="B187" s="6" t="s">
        <v>44</v>
      </c>
      <c r="C187" s="6" t="s">
        <v>124</v>
      </c>
      <c r="D187" s="4" t="s">
        <v>0</v>
      </c>
      <c r="E187" s="4" t="s">
        <v>0</v>
      </c>
      <c r="F187" s="4">
        <v>2</v>
      </c>
      <c r="G187" s="4" t="s">
        <v>591</v>
      </c>
      <c r="H187" s="4" t="s">
        <v>322</v>
      </c>
      <c r="I187" s="4" t="b">
        <v>0</v>
      </c>
      <c r="K187" s="4" t="b">
        <f>IF(COUNTIF($B$2:$B187,B187)&gt;1,TRUE,FALSE)</f>
        <v>1</v>
      </c>
      <c r="L187" t="str">
        <f t="shared" si="21"/>
        <v>p["suggest_persist_for"].update({"filter":{"type":"string","subtype":"string","indent":2,"default_value":"","docs_url":"https://looker.com/docs/r/lookml/types/filter/suggest_persist_for?version=7.14&amp;lookml=new","has_allowed_values":False,"allowed_values":""}})</v>
      </c>
      <c r="M187" t="str">
        <f t="shared" si="22"/>
        <v>{"suggest_persist_for":{"filter":{"type":"string","subtype":"string","indent":2,"default_value":"","docs_url":"https://looker.com/docs/r/lookml/types/filter/suggest_persist_for?version=7.14&amp;lookml=new","has_allowed_values":False,"allowed_values":""}}}</v>
      </c>
      <c r="N187" t="str">
        <f t="shared" si="23"/>
        <v>"type":"string",</v>
      </c>
      <c r="O187" t="str">
        <f t="shared" si="24"/>
        <v>"subtype":"string",</v>
      </c>
      <c r="P187" t="str">
        <f t="shared" si="25"/>
        <v>"indent":2,</v>
      </c>
      <c r="Q187" t="str">
        <f t="shared" si="29"/>
        <v>"default_value":"",</v>
      </c>
      <c r="R187" t="str">
        <f t="shared" si="26"/>
        <v>"docs_url":"https://looker.com/docs/r/lookml/types/filter/suggest_persist_for?version=7.14&amp;lookml=new",</v>
      </c>
      <c r="S187" t="str">
        <f t="shared" si="27"/>
        <v>"has_allowed_values":False,</v>
      </c>
      <c r="T187" t="str">
        <f t="shared" si="28"/>
        <v>"allowed_values":""</v>
      </c>
    </row>
    <row r="188" spans="1:20" ht="13" hidden="1" x14ac:dyDescent="0.15">
      <c r="A188" s="7">
        <v>201</v>
      </c>
      <c r="B188" s="6" t="s">
        <v>34</v>
      </c>
      <c r="C188" s="6" t="s">
        <v>124</v>
      </c>
      <c r="D188" s="4" t="s">
        <v>611</v>
      </c>
      <c r="E188" s="4" t="s">
        <v>34</v>
      </c>
      <c r="F188" s="4">
        <v>2</v>
      </c>
      <c r="G188" s="4" t="s">
        <v>591</v>
      </c>
      <c r="H188" s="4" t="s">
        <v>323</v>
      </c>
      <c r="I188" s="4" t="b">
        <v>0</v>
      </c>
      <c r="K188" s="4" t="b">
        <f>IF(COUNTIF($B$2:$B188,B188)&gt;1,TRUE,FALSE)</f>
        <v>1</v>
      </c>
      <c r="L188" t="str">
        <f t="shared" si="21"/>
        <v>p["sql"].update({"filter":{"type":"sql","subtype":"sql-block ","indent":2,"default_value":"","docs_url":"https://looker.com/docs/r/lookml/types/filter/sql?version=7.14&amp;lookml=new","has_allowed_values":False,"allowed_values":""}})</v>
      </c>
      <c r="M188" t="str">
        <f t="shared" si="22"/>
        <v>{"sql":{"filter":{"type":"sql","subtype":"sql-block ","indent":2,"default_value":"","docs_url":"https://looker.com/docs/r/lookml/types/filter/sql?version=7.14&amp;lookml=new","has_allowed_values":False,"allowed_values":""}}}</v>
      </c>
      <c r="N188" t="str">
        <f t="shared" si="23"/>
        <v>"type":"sql",</v>
      </c>
      <c r="O188" t="str">
        <f t="shared" si="24"/>
        <v>"subtype":"sql-block ",</v>
      </c>
      <c r="P188" t="str">
        <f t="shared" si="25"/>
        <v>"indent":2,</v>
      </c>
      <c r="Q188" t="str">
        <f t="shared" si="29"/>
        <v>"default_value":"",</v>
      </c>
      <c r="R188" t="str">
        <f t="shared" si="26"/>
        <v>"docs_url":"https://looker.com/docs/r/lookml/types/filter/sql?version=7.14&amp;lookml=new",</v>
      </c>
      <c r="S188" t="str">
        <f t="shared" si="27"/>
        <v>"has_allowed_values":False,</v>
      </c>
      <c r="T188" t="str">
        <f t="shared" si="28"/>
        <v>"allowed_values":""</v>
      </c>
    </row>
    <row r="189" spans="1:20" ht="13" hidden="1" x14ac:dyDescent="0.15">
      <c r="A189" s="7">
        <v>202</v>
      </c>
      <c r="B189" s="6" t="s">
        <v>2</v>
      </c>
      <c r="C189" s="6" t="s">
        <v>124</v>
      </c>
      <c r="D189" s="4" t="s">
        <v>95</v>
      </c>
      <c r="E189" s="4" t="s">
        <v>595</v>
      </c>
      <c r="F189" s="4">
        <v>2</v>
      </c>
      <c r="H189" s="4" t="s">
        <v>324</v>
      </c>
      <c r="I189" s="4" t="b">
        <v>0</v>
      </c>
      <c r="K189" s="4" t="b">
        <f>IF(COUNTIF($B$2:$B189,B189)&gt;1,TRUE,FALSE)</f>
        <v>1</v>
      </c>
      <c r="L189" t="str">
        <f t="shared" si="21"/>
        <v>p["alias"].update({"filter":{"type":"list_unquoted","subtype":"identifier","indent":2,"default_value":"","docs_url":"https://looker.com/docs/r/lookml/types/filter/alias?version=7.14&amp;lookml=new","has_allowed_values":False,"allowed_values":""}})</v>
      </c>
      <c r="M189" t="str">
        <f t="shared" si="22"/>
        <v>{"alias":{"filter":{"type":"list_unquoted","subtype":"identifier","indent":2,"default_value":"","docs_url":"https://looker.com/docs/r/lookml/types/filter/alias?version=7.14&amp;lookml=new","has_allowed_values":False,"allowed_values":""}}}</v>
      </c>
      <c r="N189" t="str">
        <f t="shared" si="23"/>
        <v>"type":"list_unquoted",</v>
      </c>
      <c r="O189" t="str">
        <f t="shared" si="24"/>
        <v>"subtype":"identifier",</v>
      </c>
      <c r="P189" t="str">
        <f t="shared" si="25"/>
        <v>"indent":2,</v>
      </c>
      <c r="Q189" t="str">
        <f t="shared" si="29"/>
        <v>"default_value":"",</v>
      </c>
      <c r="R189" t="str">
        <f t="shared" si="26"/>
        <v>"docs_url":"https://looker.com/docs/r/lookml/types/filter/alias?version=7.14&amp;lookml=new",</v>
      </c>
      <c r="S189" t="str">
        <f t="shared" si="27"/>
        <v>"has_allowed_values":False,</v>
      </c>
      <c r="T189" t="str">
        <f t="shared" si="28"/>
        <v>"allowed_values":""</v>
      </c>
    </row>
    <row r="190" spans="1:20" ht="13" hidden="1" x14ac:dyDescent="0.15">
      <c r="A190" s="7">
        <v>203</v>
      </c>
      <c r="B190" s="6" t="s">
        <v>9</v>
      </c>
      <c r="C190" s="6" t="s">
        <v>124</v>
      </c>
      <c r="D190" s="4" t="s">
        <v>568</v>
      </c>
      <c r="E190" s="4" t="s">
        <v>568</v>
      </c>
      <c r="F190" s="4">
        <v>2</v>
      </c>
      <c r="G190" s="4" t="s">
        <v>604</v>
      </c>
      <c r="H190" s="4" t="s">
        <v>325</v>
      </c>
      <c r="I190" s="4" t="b">
        <v>0</v>
      </c>
      <c r="K190" s="4" t="b">
        <f>IF(COUNTIF($B$2:$B190,B190)&gt;1,TRUE,FALSE)</f>
        <v>1</v>
      </c>
      <c r="L190" t="str">
        <f t="shared" si="21"/>
        <v>p["convert_tz"].update({"filter":{"type":"yesno","subtype":"yesno","indent":2,"default_value":"yes","docs_url":"https://looker.com/docs/r/lookml/types/filter/convert_tz?version=7.14&amp;lookml=new","has_allowed_values":False,"allowed_values":""}})</v>
      </c>
      <c r="M190" t="str">
        <f t="shared" si="22"/>
        <v>{"convert_tz":{"filter":{"type":"yesno","subtype":"yesno","indent":2,"default_value":"yes","docs_url":"https://looker.com/docs/r/lookml/types/filter/convert_tz?version=7.14&amp;lookml=new","has_allowed_values":False,"allowed_values":""}}}</v>
      </c>
      <c r="N190" t="str">
        <f t="shared" si="23"/>
        <v>"type":"yesno",</v>
      </c>
      <c r="O190" t="str">
        <f t="shared" si="24"/>
        <v>"subtype":"yesno",</v>
      </c>
      <c r="P190" t="str">
        <f t="shared" si="25"/>
        <v>"indent":2,</v>
      </c>
      <c r="Q190" t="str">
        <f t="shared" si="29"/>
        <v>"default_value":"yes",</v>
      </c>
      <c r="R190" t="str">
        <f t="shared" si="26"/>
        <v>"docs_url":"https://looker.com/docs/r/lookml/types/filter/convert_tz?version=7.14&amp;lookml=new",</v>
      </c>
      <c r="S190" t="str">
        <f t="shared" si="27"/>
        <v>"has_allowed_values":False,</v>
      </c>
      <c r="T190" t="str">
        <f t="shared" si="28"/>
        <v>"allowed_values":""</v>
      </c>
    </row>
    <row r="191" spans="1:20" ht="13" hidden="1" x14ac:dyDescent="0.15">
      <c r="A191" s="7">
        <v>204</v>
      </c>
      <c r="B191" s="6" t="s">
        <v>11</v>
      </c>
      <c r="C191" s="6" t="s">
        <v>124</v>
      </c>
      <c r="D191" s="4" t="s">
        <v>29</v>
      </c>
      <c r="E191" s="4" t="s">
        <v>0</v>
      </c>
      <c r="F191" s="4">
        <v>2</v>
      </c>
      <c r="G191" s="4" t="s">
        <v>591</v>
      </c>
      <c r="H191" s="4" t="s">
        <v>326</v>
      </c>
      <c r="I191" s="4" t="b">
        <v>0</v>
      </c>
      <c r="K191" s="4" t="b">
        <f>IF(COUNTIF($B$2:$B191,B191)&gt;1,TRUE,FALSE)</f>
        <v>1</v>
      </c>
      <c r="L191" t="str">
        <f t="shared" si="21"/>
        <v>p["description"].update({"filter":{"type":"string","subtype":"possibly-localized-string","indent":2,"default_value":"","docs_url":"https://looker.com/docs/r/lookml/types/filter/description?version=7.14&amp;lookml=new","has_allowed_values":False,"allowed_values":""}})</v>
      </c>
      <c r="M191" t="str">
        <f t="shared" si="22"/>
        <v>{"description":{"filter":{"type":"string","subtype":"possibly-localized-string","indent":2,"default_value":"","docs_url":"https://looker.com/docs/r/lookml/types/filter/description?version=7.14&amp;lookml=new","has_allowed_values":False,"allowed_values":""}}}</v>
      </c>
      <c r="N191" t="str">
        <f t="shared" si="23"/>
        <v>"type":"string",</v>
      </c>
      <c r="O191" t="str">
        <f t="shared" si="24"/>
        <v>"subtype":"possibly-localized-string",</v>
      </c>
      <c r="P191" t="str">
        <f t="shared" si="25"/>
        <v>"indent":2,</v>
      </c>
      <c r="Q191" t="str">
        <f t="shared" si="29"/>
        <v>"default_value":"",</v>
      </c>
      <c r="R191" t="str">
        <f t="shared" si="26"/>
        <v>"docs_url":"https://looker.com/docs/r/lookml/types/filter/description?version=7.14&amp;lookml=new",</v>
      </c>
      <c r="S191" t="str">
        <f t="shared" si="27"/>
        <v>"has_allowed_values":False,</v>
      </c>
      <c r="T191" t="str">
        <f t="shared" si="28"/>
        <v>"allowed_values":""</v>
      </c>
    </row>
    <row r="192" spans="1:20" ht="13" hidden="1" x14ac:dyDescent="0.15">
      <c r="A192" s="7">
        <v>205</v>
      </c>
      <c r="B192" s="6" t="s">
        <v>21</v>
      </c>
      <c r="C192" s="6" t="s">
        <v>124</v>
      </c>
      <c r="D192" s="4" t="s">
        <v>568</v>
      </c>
      <c r="E192" s="4" t="s">
        <v>568</v>
      </c>
      <c r="F192" s="4">
        <v>2</v>
      </c>
      <c r="G192" s="4" t="s">
        <v>603</v>
      </c>
      <c r="H192" s="4" t="s">
        <v>327</v>
      </c>
      <c r="I192" s="4" t="b">
        <v>0</v>
      </c>
      <c r="K192" s="4" t="b">
        <f>IF(COUNTIF($B$2:$B192,B192)&gt;1,TRUE,FALSE)</f>
        <v>1</v>
      </c>
      <c r="L192" t="str">
        <f t="shared" si="21"/>
        <v>p["hidden"].update({"filter":{"type":"yesno","subtype":"yesno","indent":2,"default_value":"no","docs_url":"https://looker.com/docs/r/lookml/types/filter/hidden?version=7.14&amp;lookml=new","has_allowed_values":False,"allowed_values":""}})</v>
      </c>
      <c r="M192" t="str">
        <f t="shared" si="22"/>
        <v>{"hidden":{"filter":{"type":"yesno","subtype":"yesno","indent":2,"default_value":"no","docs_url":"https://looker.com/docs/r/lookml/types/filter/hidden?version=7.14&amp;lookml=new","has_allowed_values":False,"allowed_values":""}}}</v>
      </c>
      <c r="N192" t="str">
        <f t="shared" si="23"/>
        <v>"type":"yesno",</v>
      </c>
      <c r="O192" t="str">
        <f t="shared" si="24"/>
        <v>"subtype":"yesno",</v>
      </c>
      <c r="P192" t="str">
        <f t="shared" si="25"/>
        <v>"indent":2,</v>
      </c>
      <c r="Q192" t="str">
        <f t="shared" si="29"/>
        <v>"default_value":"no",</v>
      </c>
      <c r="R192" t="str">
        <f t="shared" si="26"/>
        <v>"docs_url":"https://looker.com/docs/r/lookml/types/filter/hidden?version=7.14&amp;lookml=new",</v>
      </c>
      <c r="S192" t="str">
        <f t="shared" si="27"/>
        <v>"has_allowed_values":False,</v>
      </c>
      <c r="T192" t="str">
        <f t="shared" si="28"/>
        <v>"allowed_values":""</v>
      </c>
    </row>
    <row r="193" spans="1:20" ht="13" hidden="1" x14ac:dyDescent="0.15">
      <c r="A193" s="7">
        <v>206</v>
      </c>
      <c r="B193" s="6" t="s">
        <v>23</v>
      </c>
      <c r="C193" s="6" t="s">
        <v>124</v>
      </c>
      <c r="D193" s="4" t="s">
        <v>29</v>
      </c>
      <c r="E193" s="4" t="s">
        <v>0</v>
      </c>
      <c r="F193" s="4">
        <v>2</v>
      </c>
      <c r="G193" s="4" t="s">
        <v>591</v>
      </c>
      <c r="H193" s="4" t="s">
        <v>328</v>
      </c>
      <c r="I193" s="4" t="b">
        <v>0</v>
      </c>
      <c r="K193" s="4" t="b">
        <f>IF(COUNTIF($B$2:$B193,B193)&gt;1,TRUE,FALSE)</f>
        <v>1</v>
      </c>
      <c r="L193" t="str">
        <f t="shared" si="21"/>
        <v>p["label"].update({"filter":{"type":"string","subtype":"possibly-localized-string","indent":2,"default_value":"","docs_url":"https://looker.com/docs/r/lookml/types/filter/label?version=7.14&amp;lookml=new","has_allowed_values":False,"allowed_values":""}})</v>
      </c>
      <c r="M193" t="str">
        <f t="shared" si="22"/>
        <v>{"label":{"filter":{"type":"string","subtype":"possibly-localized-string","indent":2,"default_value":"","docs_url":"https://looker.com/docs/r/lookml/types/filter/label?version=7.14&amp;lookml=new","has_allowed_values":False,"allowed_values":""}}}</v>
      </c>
      <c r="N193" t="str">
        <f t="shared" si="23"/>
        <v>"type":"string",</v>
      </c>
      <c r="O193" t="str">
        <f t="shared" si="24"/>
        <v>"subtype":"possibly-localized-string",</v>
      </c>
      <c r="P193" t="str">
        <f t="shared" si="25"/>
        <v>"indent":2,</v>
      </c>
      <c r="Q193" t="str">
        <f t="shared" si="29"/>
        <v>"default_value":"",</v>
      </c>
      <c r="R193" t="str">
        <f t="shared" si="26"/>
        <v>"docs_url":"https://looker.com/docs/r/lookml/types/filter/label?version=7.14&amp;lookml=new",</v>
      </c>
      <c r="S193" t="str">
        <f t="shared" si="27"/>
        <v>"has_allowed_values":False,</v>
      </c>
      <c r="T193" t="str">
        <f t="shared" si="28"/>
        <v>"allowed_values":""</v>
      </c>
    </row>
    <row r="194" spans="1:20" ht="13" hidden="1" x14ac:dyDescent="0.15">
      <c r="A194" s="7">
        <v>207</v>
      </c>
      <c r="B194" s="6" t="s">
        <v>31</v>
      </c>
      <c r="C194" s="6" t="s">
        <v>124</v>
      </c>
      <c r="D194" s="4" t="s">
        <v>610</v>
      </c>
      <c r="E194" s="4" t="s">
        <v>595</v>
      </c>
      <c r="F194" s="4">
        <v>2</v>
      </c>
      <c r="H194" s="4" t="s">
        <v>329</v>
      </c>
      <c r="I194" s="4" t="b">
        <v>0</v>
      </c>
      <c r="K194" s="4" t="b">
        <f>IF(COUNTIF($B$2:$B194,B194)&gt;1,TRUE,FALSE)</f>
        <v>1</v>
      </c>
      <c r="L194" t="str">
        <f t="shared" ref="L194:L257" si="30">IF(
K194,"p["""&amp;B194&amp;"""].update({"&amp;""""&amp;C194&amp;""":{"&amp;_xlfn.CONCAT(N194:T194)&amp;"}})","p.update("&amp;M194&amp;")"
)</f>
        <v>p["required_access_grants"].update({"filter":{"type":"list_unquoted","subtype":"access-grant-ref","indent":2,"default_value":"","docs_url":"https://looker.com/docs/r/lookml/types/filter/required_access_grants?version=7.14&amp;lookml=new","has_allowed_values":False,"allowed_values":""}})</v>
      </c>
      <c r="M194" t="str">
        <f t="shared" ref="M194:M257" si="31">"{"&amp;""""&amp;B194
&amp;""":{"&amp;""""&amp;C194&amp;""":{"&amp;_xlfn.CONCAT(N194:T194)&amp;"}}}"</f>
        <v>{"required_access_grants":{"filter":{"type":"list_unquoted","subtype":"access-grant-ref","indent":2,"default_value":"","docs_url":"https://looker.com/docs/r/lookml/types/filter/required_access_grants?version=7.14&amp;lookml=new","has_allowed_values":False,"allowed_values":""}}}</v>
      </c>
      <c r="N194" t="str">
        <f t="shared" si="23"/>
        <v>"type":"list_unquoted",</v>
      </c>
      <c r="O194" t="str">
        <f t="shared" si="24"/>
        <v>"subtype":"access-grant-ref",</v>
      </c>
      <c r="P194" t="str">
        <f t="shared" si="25"/>
        <v>"indent":2,</v>
      </c>
      <c r="Q194" t="str">
        <f t="shared" si="29"/>
        <v>"default_value":"",</v>
      </c>
      <c r="R194" t="str">
        <f t="shared" si="26"/>
        <v>"docs_url":"https://looker.com/docs/r/lookml/types/filter/required_access_grants?version=7.14&amp;lookml=new",</v>
      </c>
      <c r="S194" t="str">
        <f t="shared" si="27"/>
        <v>"has_allowed_values":False,</v>
      </c>
      <c r="T194" t="str">
        <f t="shared" si="28"/>
        <v>"allowed_values":""</v>
      </c>
    </row>
    <row r="195" spans="1:20" ht="13" hidden="1" x14ac:dyDescent="0.15">
      <c r="A195" s="7">
        <v>208</v>
      </c>
      <c r="B195" s="6" t="s">
        <v>45</v>
      </c>
      <c r="C195" s="6" t="s">
        <v>124</v>
      </c>
      <c r="D195" s="4" t="s">
        <v>568</v>
      </c>
      <c r="E195" s="4" t="s">
        <v>568</v>
      </c>
      <c r="F195" s="4">
        <v>2</v>
      </c>
      <c r="G195" s="4" t="s">
        <v>604</v>
      </c>
      <c r="H195" s="4" t="s">
        <v>330</v>
      </c>
      <c r="I195" s="4" t="b">
        <v>0</v>
      </c>
      <c r="K195" s="4" t="b">
        <f>IF(COUNTIF($B$2:$B195,B195)&gt;1,TRUE,FALSE)</f>
        <v>1</v>
      </c>
      <c r="L195" t="str">
        <f t="shared" si="30"/>
        <v>p["suggestable"].update({"filter":{"type":"yesno","subtype":"yesno","indent":2,"default_value":"yes","docs_url":"https://looker.com/docs/r/lookml/types/filter/suggestable?version=7.14&amp;lookml=new","has_allowed_values":False,"allowed_values":""}})</v>
      </c>
      <c r="M195" t="str">
        <f t="shared" si="31"/>
        <v>{"suggestable":{"filter":{"type":"yesno","subtype":"yesno","indent":2,"default_value":"yes","docs_url":"https://looker.com/docs/r/lookml/types/filter/suggestable?version=7.14&amp;lookml=new","has_allowed_values":False,"allowed_values":""}}}</v>
      </c>
      <c r="N195" t="str">
        <f t="shared" ref="N195:N258" si="32">"""type"":"&amp;""""&amp;E195&amp;""","</f>
        <v>"type":"yesno",</v>
      </c>
      <c r="O195" t="str">
        <f t="shared" ref="O195:O258" si="33">"""subtype"":"&amp;""""&amp;D195&amp;""","</f>
        <v>"subtype":"yesno",</v>
      </c>
      <c r="P195" t="str">
        <f t="shared" ref="P195:P258" si="34">"""indent"":"&amp;F195&amp;","</f>
        <v>"indent":2,</v>
      </c>
      <c r="Q195" t="str">
        <f t="shared" si="29"/>
        <v>"default_value":"yes",</v>
      </c>
      <c r="R195" t="str">
        <f t="shared" ref="R195:R258" si="35">"""docs_url"":"&amp;""""&amp;H195&amp;""","</f>
        <v>"docs_url":"https://looker.com/docs/r/lookml/types/filter/suggestable?version=7.14&amp;lookml=new",</v>
      </c>
      <c r="S195" t="str">
        <f t="shared" ref="S195:S258" si="36">"""has_allowed_values"":"&amp;IF(I195,"True,","False"&amp;",")</f>
        <v>"has_allowed_values":False,</v>
      </c>
      <c r="T195" t="str">
        <f t="shared" ref="T195:T258" si="37">"""allowed_values"":"&amp;IF(J195&lt;&gt;"",J195,"""""")</f>
        <v>"allowed_values":""</v>
      </c>
    </row>
    <row r="196" spans="1:20" ht="13" hidden="1" x14ac:dyDescent="0.15">
      <c r="A196" s="7">
        <v>209</v>
      </c>
      <c r="B196" s="6" t="s">
        <v>47</v>
      </c>
      <c r="C196" s="6" t="s">
        <v>124</v>
      </c>
      <c r="D196" s="4" t="s">
        <v>597</v>
      </c>
      <c r="E196" s="4" t="s">
        <v>597</v>
      </c>
      <c r="F196" s="4">
        <v>2</v>
      </c>
      <c r="H196" s="4" t="s">
        <v>331</v>
      </c>
      <c r="I196" s="4" t="b">
        <v>0</v>
      </c>
      <c r="K196" s="4" t="b">
        <f>IF(COUNTIF($B$2:$B196,B196)&gt;1,TRUE,FALSE)</f>
        <v>1</v>
      </c>
      <c r="L196" t="str">
        <f t="shared" si="30"/>
        <v>p["tags"].update({"filter":{"type":"list_quoted","subtype":"list_quoted","indent":2,"default_value":"","docs_url":"https://looker.com/docs/r/lookml/types/filter/tags?version=7.14&amp;lookml=new","has_allowed_values":False,"allowed_values":""}})</v>
      </c>
      <c r="M196" t="str">
        <f t="shared" si="31"/>
        <v>{"tags":{"filter":{"type":"list_quoted","subtype":"list_quoted","indent":2,"default_value":"","docs_url":"https://looker.com/docs/r/lookml/types/filter/tags?version=7.14&amp;lookml=new","has_allowed_values":False,"allowed_values":""}}}</v>
      </c>
      <c r="N196" t="str">
        <f t="shared" si="32"/>
        <v>"type":"list_quoted",</v>
      </c>
      <c r="O196" t="str">
        <f t="shared" si="33"/>
        <v>"subtype":"list_quoted",</v>
      </c>
      <c r="P196" t="str">
        <f t="shared" si="34"/>
        <v>"indent":2,</v>
      </c>
      <c r="Q196" t="str">
        <f t="shared" si="29"/>
        <v>"default_value":"",</v>
      </c>
      <c r="R196" t="str">
        <f t="shared" si="35"/>
        <v>"docs_url":"https://looker.com/docs/r/lookml/types/filter/tags?version=7.14&amp;lookml=new",</v>
      </c>
      <c r="S196" t="str">
        <f t="shared" si="36"/>
        <v>"has_allowed_values":False,</v>
      </c>
      <c r="T196" t="str">
        <f t="shared" si="37"/>
        <v>"allowed_values":""</v>
      </c>
    </row>
    <row r="197" spans="1:20" ht="13" hidden="1" x14ac:dyDescent="0.15">
      <c r="A197" s="7">
        <v>210</v>
      </c>
      <c r="B197" s="6" t="s">
        <v>49</v>
      </c>
      <c r="C197" s="6" t="s">
        <v>124</v>
      </c>
      <c r="D197" s="4" t="s">
        <v>550</v>
      </c>
      <c r="E197" s="4" t="s">
        <v>550</v>
      </c>
      <c r="F197" s="4">
        <v>2</v>
      </c>
      <c r="G197" s="4" t="s">
        <v>0</v>
      </c>
      <c r="H197" s="4" t="s">
        <v>332</v>
      </c>
      <c r="I197" s="4" t="b">
        <v>1</v>
      </c>
      <c r="J197" s="4" t="s">
        <v>569</v>
      </c>
      <c r="K197" s="4" t="b">
        <f>IF(COUNTIF($B$2:$B197,B197)&gt;1,TRUE,FALSE)</f>
        <v>1</v>
      </c>
      <c r="L197" t="str">
        <f t="shared" si="30"/>
        <v>p["type"].update({"filter":{"type":"options","subtype":"options","indent":2,"default_value":"string","docs_url":"https://looker.com/docs/r/lookml/types/filter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)</v>
      </c>
      <c r="M197" t="str">
        <f t="shared" si="31"/>
        <v>{"type":{"filter":{"type":"options","subtype":"options","indent":2,"default_value":"string","docs_url":"https://looker.com/docs/r/lookml/types/filter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}</v>
      </c>
      <c r="N197" t="str">
        <f t="shared" si="32"/>
        <v>"type":"options",</v>
      </c>
      <c r="O197" t="str">
        <f t="shared" si="33"/>
        <v>"subtype":"options",</v>
      </c>
      <c r="P197" t="str">
        <f t="shared" si="34"/>
        <v>"indent":2,</v>
      </c>
      <c r="Q197" t="str">
        <f t="shared" si="29"/>
        <v>"default_value":"string",</v>
      </c>
      <c r="R197" t="str">
        <f t="shared" si="35"/>
        <v>"docs_url":"https://looker.com/docs/r/lookml/types/filter/type?version=7.14&amp;lookml=new",</v>
      </c>
      <c r="S197" t="str">
        <f t="shared" si="36"/>
        <v>"has_allowed_values":True,</v>
      </c>
      <c r="T197" t="str">
        <f t="shared" si="37"/>
        <v>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</v>
      </c>
    </row>
    <row r="198" spans="1:20" ht="13" hidden="1" x14ac:dyDescent="0.15">
      <c r="A198" s="7">
        <v>211</v>
      </c>
      <c r="B198" s="6" t="s">
        <v>42</v>
      </c>
      <c r="C198" s="6" t="s">
        <v>124</v>
      </c>
      <c r="D198" s="4" t="s">
        <v>17</v>
      </c>
      <c r="E198" s="4" t="s">
        <v>598</v>
      </c>
      <c r="F198" s="4">
        <v>2</v>
      </c>
      <c r="H198" s="4" t="s">
        <v>333</v>
      </c>
      <c r="I198" s="4" t="b">
        <v>0</v>
      </c>
      <c r="K198" s="4" t="b">
        <f>IF(COUNTIF($B$2:$B198,B198)&gt;1,TRUE,FALSE)</f>
        <v>1</v>
      </c>
      <c r="L198" t="str">
        <f t="shared" si="30"/>
        <v>p["suggest_dimension"].update({"filter":{"type":"string_unquoted","subtype":"field-ref","indent":2,"default_value":"","docs_url":"https://looker.com/docs/r/lookml/types/filter/suggest_dimension?version=7.14&amp;lookml=new","has_allowed_values":False,"allowed_values":""}})</v>
      </c>
      <c r="M198" t="str">
        <f t="shared" si="31"/>
        <v>{"suggest_dimension":{"filter":{"type":"string_unquoted","subtype":"field-ref","indent":2,"default_value":"","docs_url":"https://looker.com/docs/r/lookml/types/filter/suggest_dimension?version=7.14&amp;lookml=new","has_allowed_values":False,"allowed_values":""}}}</v>
      </c>
      <c r="N198" t="str">
        <f t="shared" si="32"/>
        <v>"type":"string_unquoted",</v>
      </c>
      <c r="O198" t="str">
        <f t="shared" si="33"/>
        <v>"subtype":"field-ref",</v>
      </c>
      <c r="P198" t="str">
        <f t="shared" si="34"/>
        <v>"indent":2,</v>
      </c>
      <c r="Q198" t="str">
        <f t="shared" si="29"/>
        <v>"default_value":"",</v>
      </c>
      <c r="R198" t="str">
        <f t="shared" si="35"/>
        <v>"docs_url":"https://looker.com/docs/r/lookml/types/filter/suggest_dimension?version=7.14&amp;lookml=new",</v>
      </c>
      <c r="S198" t="str">
        <f t="shared" si="36"/>
        <v>"has_allowed_values":False,</v>
      </c>
      <c r="T198" t="str">
        <f t="shared" si="37"/>
        <v>"allowed_values":""</v>
      </c>
    </row>
    <row r="199" spans="1:20" ht="13" hidden="1" x14ac:dyDescent="0.15">
      <c r="A199" s="7">
        <v>212</v>
      </c>
      <c r="B199" s="6" t="s">
        <v>43</v>
      </c>
      <c r="C199" s="6" t="s">
        <v>124</v>
      </c>
      <c r="D199" s="4" t="s">
        <v>15</v>
      </c>
      <c r="E199" s="4" t="s">
        <v>598</v>
      </c>
      <c r="F199" s="4">
        <v>2</v>
      </c>
      <c r="H199" s="4" t="s">
        <v>334</v>
      </c>
      <c r="I199" s="4" t="b">
        <v>0</v>
      </c>
      <c r="K199" s="4" t="b">
        <f>IF(COUNTIF($B$2:$B199,B199)&gt;1,TRUE,FALSE)</f>
        <v>1</v>
      </c>
      <c r="L199" t="str">
        <f t="shared" si="30"/>
        <v>p["suggest_explore"].update({"filter":{"type":"string_unquoted","subtype":"explore-ref","indent":2,"default_value":"","docs_url":"https://looker.com/docs/r/lookml/types/filter/suggest_explore?version=7.14&amp;lookml=new","has_allowed_values":False,"allowed_values":""}})</v>
      </c>
      <c r="M199" t="str">
        <f t="shared" si="31"/>
        <v>{"suggest_explore":{"filter":{"type":"string_unquoted","subtype":"explore-ref","indent":2,"default_value":"","docs_url":"https://looker.com/docs/r/lookml/types/filter/suggest_explore?version=7.14&amp;lookml=new","has_allowed_values":False,"allowed_values":""}}}</v>
      </c>
      <c r="N199" t="str">
        <f t="shared" si="32"/>
        <v>"type":"string_unquoted",</v>
      </c>
      <c r="O199" t="str">
        <f t="shared" si="33"/>
        <v>"subtype":"explore-ref",</v>
      </c>
      <c r="P199" t="str">
        <f t="shared" si="34"/>
        <v>"indent":2,</v>
      </c>
      <c r="Q199" t="str">
        <f t="shared" si="29"/>
        <v>"default_value":"",</v>
      </c>
      <c r="R199" t="str">
        <f t="shared" si="35"/>
        <v>"docs_url":"https://looker.com/docs/r/lookml/types/filter/suggest_explore?version=7.14&amp;lookml=new",</v>
      </c>
      <c r="S199" t="str">
        <f t="shared" si="36"/>
        <v>"has_allowed_values":False,</v>
      </c>
      <c r="T199" t="str">
        <f t="shared" si="37"/>
        <v>"allowed_values":""</v>
      </c>
    </row>
    <row r="200" spans="1:20" ht="13" hidden="1" x14ac:dyDescent="0.15">
      <c r="A200" s="7">
        <v>213</v>
      </c>
      <c r="B200" s="6" t="s">
        <v>54</v>
      </c>
      <c r="C200" s="6" t="s">
        <v>124</v>
      </c>
      <c r="D200" s="4" t="s">
        <v>29</v>
      </c>
      <c r="E200" s="4" t="s">
        <v>0</v>
      </c>
      <c r="F200" s="4">
        <v>2</v>
      </c>
      <c r="G200" s="4" t="s">
        <v>591</v>
      </c>
      <c r="H200" s="4" t="s">
        <v>335</v>
      </c>
      <c r="I200" s="4" t="b">
        <v>0</v>
      </c>
      <c r="K200" s="4" t="b">
        <f>IF(COUNTIF($B$2:$B200,B200)&gt;1,TRUE,FALSE)</f>
        <v>1</v>
      </c>
      <c r="L200" t="str">
        <f t="shared" si="30"/>
        <v>p["view_label"].update({"filter":{"type":"string","subtype":"possibly-localized-string","indent":2,"default_value":"","docs_url":"https://looker.com/docs/r/lookml/types/filter/view_label?version=7.14&amp;lookml=new","has_allowed_values":False,"allowed_values":""}})</v>
      </c>
      <c r="M200" t="str">
        <f t="shared" si="31"/>
        <v>{"view_label":{"filter":{"type":"string","subtype":"possibly-localized-string","indent":2,"default_value":"","docs_url":"https://looker.com/docs/r/lookml/types/filter/view_label?version=7.14&amp;lookml=new","has_allowed_values":False,"allowed_values":""}}}</v>
      </c>
      <c r="N200" t="str">
        <f t="shared" si="32"/>
        <v>"type":"string",</v>
      </c>
      <c r="O200" t="str">
        <f t="shared" si="33"/>
        <v>"subtype":"possibly-localized-string",</v>
      </c>
      <c r="P200" t="str">
        <f t="shared" si="34"/>
        <v>"indent":2,</v>
      </c>
      <c r="Q200" t="str">
        <f t="shared" si="29"/>
        <v>"default_value":"",</v>
      </c>
      <c r="R200" t="str">
        <f t="shared" si="35"/>
        <v>"docs_url":"https://looker.com/docs/r/lookml/types/filter/view_label?version=7.14&amp;lookml=new",</v>
      </c>
      <c r="S200" t="str">
        <f t="shared" si="36"/>
        <v>"has_allowed_values":False,</v>
      </c>
      <c r="T200" t="str">
        <f t="shared" si="37"/>
        <v>"allowed_values":""</v>
      </c>
    </row>
    <row r="201" spans="1:20" ht="13" hidden="1" x14ac:dyDescent="0.15">
      <c r="A201" s="7">
        <v>216</v>
      </c>
      <c r="B201" s="6" t="s">
        <v>485</v>
      </c>
      <c r="C201" s="6" t="s">
        <v>125</v>
      </c>
      <c r="D201" s="4" t="s">
        <v>540</v>
      </c>
      <c r="E201" s="4" t="s">
        <v>540</v>
      </c>
      <c r="F201" s="4">
        <v>2</v>
      </c>
      <c r="H201" s="4" t="s">
        <v>336</v>
      </c>
      <c r="I201" s="4" t="b">
        <v>0</v>
      </c>
      <c r="K201" s="4" t="b">
        <f>IF(COUNTIF($B$2:$B201,B201)&gt;1,TRUE,FALSE)</f>
        <v>0</v>
      </c>
      <c r="L201" t="str">
        <f t="shared" si="30"/>
        <v>p.update({"allowed_value":{"parameter":{"type":"anonymous_construct_plural","subtype":"anonymous_construct_plural","indent":2,"default_value":"","docs_url":"https://looker.com/docs/r/lookml/types/parameter/allowed_value?version=7.14&amp;lookml=new","has_allowed_values":False,"allowed_values":""}}})</v>
      </c>
      <c r="M201" t="str">
        <f t="shared" si="31"/>
        <v>{"allowed_value":{"parameter":{"type":"anonymous_construct_plural","subtype":"anonymous_construct_plural","indent":2,"default_value":"","docs_url":"https://looker.com/docs/r/lookml/types/parameter/allowed_value?version=7.14&amp;lookml=new","has_allowed_values":False,"allowed_values":""}}}</v>
      </c>
      <c r="N201" t="str">
        <f t="shared" si="32"/>
        <v>"type":"anonymous_construct_plural",</v>
      </c>
      <c r="O201" t="str">
        <f t="shared" si="33"/>
        <v>"subtype":"anonymous_construct_plural",</v>
      </c>
      <c r="P201" t="str">
        <f t="shared" si="34"/>
        <v>"indent":2,</v>
      </c>
      <c r="Q201" t="str">
        <f t="shared" si="29"/>
        <v>"default_value":"",</v>
      </c>
      <c r="R201" t="str">
        <f t="shared" si="35"/>
        <v>"docs_url":"https://looker.com/docs/r/lookml/types/parameter/allowed_value?version=7.14&amp;lookml=new",</v>
      </c>
      <c r="S201" t="str">
        <f t="shared" si="36"/>
        <v>"has_allowed_values":False,</v>
      </c>
      <c r="T201" t="str">
        <f t="shared" si="37"/>
        <v>"allowed_values":""</v>
      </c>
    </row>
    <row r="202" spans="1:20" ht="13" hidden="1" x14ac:dyDescent="0.15">
      <c r="A202" s="7">
        <v>217</v>
      </c>
      <c r="B202" s="6" t="s">
        <v>5</v>
      </c>
      <c r="C202" s="6" t="s">
        <v>125</v>
      </c>
      <c r="D202" s="4" t="s">
        <v>568</v>
      </c>
      <c r="E202" s="4" t="s">
        <v>568</v>
      </c>
      <c r="F202" s="4">
        <v>2</v>
      </c>
      <c r="G202" s="4" t="s">
        <v>603</v>
      </c>
      <c r="H202" s="4" t="s">
        <v>337</v>
      </c>
      <c r="I202" s="4" t="b">
        <v>0</v>
      </c>
      <c r="K202" s="4" t="b">
        <f>IF(COUNTIF($B$2:$B202,B202)&gt;1,TRUE,FALSE)</f>
        <v>1</v>
      </c>
      <c r="L202" t="str">
        <f t="shared" si="30"/>
        <v>p["bypass_suggest_restrictions"].update({"parameter":{"type":"yesno","subtype":"yesno","indent":2,"default_value":"no","docs_url":"https://looker.com/docs/r/lookml/types/parameter/bypass_suggest_restrictions?version=7.14&amp;lookml=new","has_allowed_values":False,"allowed_values":""}})</v>
      </c>
      <c r="M202" t="str">
        <f t="shared" si="31"/>
        <v>{"bypass_suggest_restrictions":{"parameter":{"type":"yesno","subtype":"yesno","indent":2,"default_value":"no","docs_url":"https://looker.com/docs/r/lookml/types/parameter/bypass_suggest_restrictions?version=7.14&amp;lookml=new","has_allowed_values":False,"allowed_values":""}}}</v>
      </c>
      <c r="N202" t="str">
        <f t="shared" si="32"/>
        <v>"type":"yesno",</v>
      </c>
      <c r="O202" t="str">
        <f t="shared" si="33"/>
        <v>"subtype":"yesno",</v>
      </c>
      <c r="P202" t="str">
        <f t="shared" si="34"/>
        <v>"indent":2,</v>
      </c>
      <c r="Q202" t="str">
        <f t="shared" si="29"/>
        <v>"default_value":"no",</v>
      </c>
      <c r="R202" t="str">
        <f t="shared" si="35"/>
        <v>"docs_url":"https://looker.com/docs/r/lookml/types/parameter/bypass_suggest_restrictions?version=7.14&amp;lookml=new",</v>
      </c>
      <c r="S202" t="str">
        <f t="shared" si="36"/>
        <v>"has_allowed_values":False,</v>
      </c>
      <c r="T202" t="str">
        <f t="shared" si="37"/>
        <v>"allowed_values":""</v>
      </c>
    </row>
    <row r="203" spans="1:20" ht="13" hidden="1" x14ac:dyDescent="0.15">
      <c r="A203" s="7">
        <v>218</v>
      </c>
      <c r="B203" s="6" t="s">
        <v>118</v>
      </c>
      <c r="C203" s="6" t="s">
        <v>125</v>
      </c>
      <c r="D203" s="4" t="s">
        <v>0</v>
      </c>
      <c r="E203" s="4" t="s">
        <v>0</v>
      </c>
      <c r="F203" s="4">
        <v>2</v>
      </c>
      <c r="G203" s="4" t="s">
        <v>591</v>
      </c>
      <c r="H203" s="4" t="s">
        <v>338</v>
      </c>
      <c r="I203" s="4" t="b">
        <v>0</v>
      </c>
      <c r="K203" s="4" t="b">
        <f>IF(COUNTIF($B$2:$B203,B203)&gt;1,TRUE,FALSE)</f>
        <v>1</v>
      </c>
      <c r="L203" t="str">
        <f t="shared" si="30"/>
        <v>p["default_value"].update({"parameter":{"type":"string","subtype":"string","indent":2,"default_value":"","docs_url":"https://looker.com/docs/r/lookml/types/parameter/default_value?version=7.14&amp;lookml=new","has_allowed_values":False,"allowed_values":""}})</v>
      </c>
      <c r="M203" t="str">
        <f t="shared" si="31"/>
        <v>{"default_value":{"parameter":{"type":"string","subtype":"string","indent":2,"default_value":"","docs_url":"https://looker.com/docs/r/lookml/types/parameter/default_value?version=7.14&amp;lookml=new","has_allowed_values":False,"allowed_values":""}}}</v>
      </c>
      <c r="N203" t="str">
        <f t="shared" si="32"/>
        <v>"type":"string",</v>
      </c>
      <c r="O203" t="str">
        <f t="shared" si="33"/>
        <v>"subtype":"string",</v>
      </c>
      <c r="P203" t="str">
        <f t="shared" si="34"/>
        <v>"indent":2,</v>
      </c>
      <c r="Q203" t="str">
        <f t="shared" si="29"/>
        <v>"default_value":"",</v>
      </c>
      <c r="R203" t="str">
        <f t="shared" si="35"/>
        <v>"docs_url":"https://looker.com/docs/r/lookml/types/parameter/default_value?version=7.14&amp;lookml=new",</v>
      </c>
      <c r="S203" t="str">
        <f t="shared" si="36"/>
        <v>"has_allowed_values":False,</v>
      </c>
      <c r="T203" t="str">
        <f t="shared" si="37"/>
        <v>"allowed_values":""</v>
      </c>
    </row>
    <row r="204" spans="1:20" ht="13" hidden="1" x14ac:dyDescent="0.15">
      <c r="A204" s="7">
        <v>219</v>
      </c>
      <c r="B204" s="6" t="s">
        <v>18</v>
      </c>
      <c r="C204" s="6" t="s">
        <v>125</v>
      </c>
      <c r="D204" s="4" t="s">
        <v>568</v>
      </c>
      <c r="E204" s="4" t="s">
        <v>568</v>
      </c>
      <c r="F204" s="4">
        <v>2</v>
      </c>
      <c r="G204" s="4" t="s">
        <v>604</v>
      </c>
      <c r="H204" s="4" t="s">
        <v>339</v>
      </c>
      <c r="I204" s="4" t="b">
        <v>0</v>
      </c>
      <c r="K204" s="4" t="b">
        <f>IF(COUNTIF($B$2:$B204,B204)&gt;1,TRUE,FALSE)</f>
        <v>1</v>
      </c>
      <c r="L204" t="str">
        <f t="shared" si="30"/>
        <v>p["full_suggestions"].update({"parameter":{"type":"yesno","subtype":"yesno","indent":2,"default_value":"yes","docs_url":"https://looker.com/docs/r/lookml/types/parameter/full_suggestions?version=7.14&amp;lookml=new","has_allowed_values":False,"allowed_values":""}})</v>
      </c>
      <c r="M204" t="str">
        <f t="shared" si="31"/>
        <v>{"full_suggestions":{"parameter":{"type":"yesno","subtype":"yesno","indent":2,"default_value":"yes","docs_url":"https://looker.com/docs/r/lookml/types/parameter/full_suggestions?version=7.14&amp;lookml=new","has_allowed_values":False,"allowed_values":""}}}</v>
      </c>
      <c r="N204" t="str">
        <f t="shared" si="32"/>
        <v>"type":"yesno",</v>
      </c>
      <c r="O204" t="str">
        <f t="shared" si="33"/>
        <v>"subtype":"yesno",</v>
      </c>
      <c r="P204" t="str">
        <f t="shared" si="34"/>
        <v>"indent":2,</v>
      </c>
      <c r="Q204" t="str">
        <f t="shared" ref="Q204:Q267" si="38">"""default_value"":"&amp;IF(G204="""""",""""",",IF(LEFT(G204,1)="[",G204,""""&amp;G204&amp;"""")&amp;",")</f>
        <v>"default_value":"yes",</v>
      </c>
      <c r="R204" t="str">
        <f t="shared" si="35"/>
        <v>"docs_url":"https://looker.com/docs/r/lookml/types/parameter/full_suggestions?version=7.14&amp;lookml=new",</v>
      </c>
      <c r="S204" t="str">
        <f t="shared" si="36"/>
        <v>"has_allowed_values":False,</v>
      </c>
      <c r="T204" t="str">
        <f t="shared" si="37"/>
        <v>"allowed_values":""</v>
      </c>
    </row>
    <row r="205" spans="1:20" ht="13" hidden="1" x14ac:dyDescent="0.15">
      <c r="A205" s="7">
        <v>220</v>
      </c>
      <c r="B205" s="6" t="s">
        <v>20</v>
      </c>
      <c r="C205" s="6" t="s">
        <v>125</v>
      </c>
      <c r="D205" s="4" t="s">
        <v>29</v>
      </c>
      <c r="E205" s="4" t="s">
        <v>0</v>
      </c>
      <c r="F205" s="4">
        <v>2</v>
      </c>
      <c r="G205" s="4" t="s">
        <v>591</v>
      </c>
      <c r="H205" s="4" t="s">
        <v>340</v>
      </c>
      <c r="I205" s="4" t="b">
        <v>0</v>
      </c>
      <c r="K205" s="4" t="b">
        <f>IF(COUNTIF($B$2:$B205,B205)&gt;1,TRUE,FALSE)</f>
        <v>1</v>
      </c>
      <c r="L205" t="str">
        <f t="shared" si="30"/>
        <v>p["group_label"].update({"parameter":{"type":"string","subtype":"possibly-localized-string","indent":2,"default_value":"","docs_url":"https://looker.com/docs/r/lookml/types/parameter/group_label?version=7.14&amp;lookml=new","has_allowed_values":False,"allowed_values":""}})</v>
      </c>
      <c r="M205" t="str">
        <f t="shared" si="31"/>
        <v>{"group_label":{"parameter":{"type":"string","subtype":"possibly-localized-string","indent":2,"default_value":"","docs_url":"https://looker.com/docs/r/lookml/types/parameter/group_label?version=7.14&amp;lookml=new","has_allowed_values":False,"allowed_values":""}}}</v>
      </c>
      <c r="N205" t="str">
        <f t="shared" si="32"/>
        <v>"type":"string",</v>
      </c>
      <c r="O205" t="str">
        <f t="shared" si="33"/>
        <v>"subtype":"possibly-localized-string",</v>
      </c>
      <c r="P205" t="str">
        <f t="shared" si="34"/>
        <v>"indent":2,</v>
      </c>
      <c r="Q205" t="str">
        <f t="shared" si="38"/>
        <v>"default_value":"",</v>
      </c>
      <c r="R205" t="str">
        <f t="shared" si="35"/>
        <v>"docs_url":"https://looker.com/docs/r/lookml/types/parameter/group_label?version=7.14&amp;lookml=new",</v>
      </c>
      <c r="S205" t="str">
        <f t="shared" si="36"/>
        <v>"has_allowed_values":False,</v>
      </c>
      <c r="T205" t="str">
        <f t="shared" si="37"/>
        <v>"allowed_values":""</v>
      </c>
    </row>
    <row r="206" spans="1:20" ht="13" hidden="1" x14ac:dyDescent="0.15">
      <c r="A206" s="7">
        <v>221</v>
      </c>
      <c r="B206" s="6" t="s">
        <v>19</v>
      </c>
      <c r="C206" s="6" t="s">
        <v>125</v>
      </c>
      <c r="D206" s="4" t="s">
        <v>29</v>
      </c>
      <c r="E206" s="4" t="s">
        <v>0</v>
      </c>
      <c r="F206" s="4">
        <v>2</v>
      </c>
      <c r="G206" s="4" t="s">
        <v>591</v>
      </c>
      <c r="H206" s="4" t="s">
        <v>341</v>
      </c>
      <c r="I206" s="4" t="b">
        <v>0</v>
      </c>
      <c r="K206" s="4" t="b">
        <f>IF(COUNTIF($B$2:$B206,B206)&gt;1,TRUE,FALSE)</f>
        <v>1</v>
      </c>
      <c r="L206" t="str">
        <f t="shared" si="30"/>
        <v>p["group_item_label"].update({"parameter":{"type":"string","subtype":"possibly-localized-string","indent":2,"default_value":"","docs_url":"https://looker.com/docs/r/lookml/types/parameter/group_item_label?version=7.14&amp;lookml=new","has_allowed_values":False,"allowed_values":""}})</v>
      </c>
      <c r="M206" t="str">
        <f t="shared" si="31"/>
        <v>{"group_item_label":{"parameter":{"type":"string","subtype":"possibly-localized-string","indent":2,"default_value":"","docs_url":"https://looker.com/docs/r/lookml/types/parameter/group_item_label?version=7.14&amp;lookml=new","has_allowed_values":False,"allowed_values":""}}}</v>
      </c>
      <c r="N206" t="str">
        <f t="shared" si="32"/>
        <v>"type":"string",</v>
      </c>
      <c r="O206" t="str">
        <f t="shared" si="33"/>
        <v>"subtype":"possibly-localized-string",</v>
      </c>
      <c r="P206" t="str">
        <f t="shared" si="34"/>
        <v>"indent":2,</v>
      </c>
      <c r="Q206" t="str">
        <f t="shared" si="38"/>
        <v>"default_value":"",</v>
      </c>
      <c r="R206" t="str">
        <f t="shared" si="35"/>
        <v>"docs_url":"https://looker.com/docs/r/lookml/types/parameter/group_item_label?version=7.14&amp;lookml=new",</v>
      </c>
      <c r="S206" t="str">
        <f t="shared" si="36"/>
        <v>"has_allowed_values":False,</v>
      </c>
      <c r="T206" t="str">
        <f t="shared" si="37"/>
        <v>"allowed_values":""</v>
      </c>
    </row>
    <row r="207" spans="1:20" ht="13" hidden="1" x14ac:dyDescent="0.15">
      <c r="A207" s="7">
        <v>222</v>
      </c>
      <c r="B207" s="6" t="s">
        <v>32</v>
      </c>
      <c r="C207" s="6" t="s">
        <v>125</v>
      </c>
      <c r="D207" s="4" t="s">
        <v>17</v>
      </c>
      <c r="E207" s="4" t="s">
        <v>595</v>
      </c>
      <c r="F207" s="4">
        <v>2</v>
      </c>
      <c r="H207" s="4" t="s">
        <v>342</v>
      </c>
      <c r="I207" s="4" t="b">
        <v>0</v>
      </c>
      <c r="K207" s="4" t="b">
        <f>IF(COUNTIF($B$2:$B207,B207)&gt;1,TRUE,FALSE)</f>
        <v>1</v>
      </c>
      <c r="L207" t="str">
        <f t="shared" si="30"/>
        <v>p["required_fields"].update({"parameter":{"type":"list_unquoted","subtype":"field-ref","indent":2,"default_value":"","docs_url":"https://looker.com/docs/r/lookml/types/parameter/required_fields?version=7.14&amp;lookml=new","has_allowed_values":False,"allowed_values":""}})</v>
      </c>
      <c r="M207" t="str">
        <f t="shared" si="31"/>
        <v>{"required_fields":{"parameter":{"type":"list_unquoted","subtype":"field-ref","indent":2,"default_value":"","docs_url":"https://looker.com/docs/r/lookml/types/parameter/required_fields?version=7.14&amp;lookml=new","has_allowed_values":False,"allowed_values":""}}}</v>
      </c>
      <c r="N207" t="str">
        <f t="shared" si="32"/>
        <v>"type":"list_unquoted",</v>
      </c>
      <c r="O207" t="str">
        <f t="shared" si="33"/>
        <v>"subtype":"field-ref",</v>
      </c>
      <c r="P207" t="str">
        <f t="shared" si="34"/>
        <v>"indent":2,</v>
      </c>
      <c r="Q207" t="str">
        <f t="shared" si="38"/>
        <v>"default_value":"",</v>
      </c>
      <c r="R207" t="str">
        <f t="shared" si="35"/>
        <v>"docs_url":"https://looker.com/docs/r/lookml/types/parameter/required_fields?version=7.14&amp;lookml=new",</v>
      </c>
      <c r="S207" t="str">
        <f t="shared" si="36"/>
        <v>"has_allowed_values":False,</v>
      </c>
      <c r="T207" t="str">
        <f t="shared" si="37"/>
        <v>"allowed_values":""</v>
      </c>
    </row>
    <row r="208" spans="1:20" ht="13" hidden="1" x14ac:dyDescent="0.15">
      <c r="A208" s="7">
        <v>223</v>
      </c>
      <c r="B208" s="6" t="s">
        <v>46</v>
      </c>
      <c r="C208" s="6" t="s">
        <v>125</v>
      </c>
      <c r="D208" s="4" t="s">
        <v>597</v>
      </c>
      <c r="E208" s="4" t="s">
        <v>597</v>
      </c>
      <c r="F208" s="4">
        <v>2</v>
      </c>
      <c r="H208" s="4" t="s">
        <v>343</v>
      </c>
      <c r="I208" s="4" t="b">
        <v>0</v>
      </c>
      <c r="K208" s="4" t="b">
        <f>IF(COUNTIF($B$2:$B208,B208)&gt;1,TRUE,FALSE)</f>
        <v>1</v>
      </c>
      <c r="L208" t="str">
        <f t="shared" si="30"/>
        <v>p["suggestions"].update({"parameter":{"type":"list_quoted","subtype":"list_quoted","indent":2,"default_value":"","docs_url":"https://looker.com/docs/r/lookml/types/parameter/suggestions?version=7.14&amp;lookml=new","has_allowed_values":False,"allowed_values":""}})</v>
      </c>
      <c r="M208" t="str">
        <f t="shared" si="31"/>
        <v>{"suggestions":{"parameter":{"type":"list_quoted","subtype":"list_quoted","indent":2,"default_value":"","docs_url":"https://looker.com/docs/r/lookml/types/parameter/suggestions?version=7.14&amp;lookml=new","has_allowed_values":False,"allowed_values":""}}}</v>
      </c>
      <c r="N208" t="str">
        <f t="shared" si="32"/>
        <v>"type":"list_quoted",</v>
      </c>
      <c r="O208" t="str">
        <f t="shared" si="33"/>
        <v>"subtype":"list_quoted",</v>
      </c>
      <c r="P208" t="str">
        <f t="shared" si="34"/>
        <v>"indent":2,</v>
      </c>
      <c r="Q208" t="str">
        <f t="shared" si="38"/>
        <v>"default_value":"",</v>
      </c>
      <c r="R208" t="str">
        <f t="shared" si="35"/>
        <v>"docs_url":"https://looker.com/docs/r/lookml/types/parameter/suggestions?version=7.14&amp;lookml=new",</v>
      </c>
      <c r="S208" t="str">
        <f t="shared" si="36"/>
        <v>"has_allowed_values":False,</v>
      </c>
      <c r="T208" t="str">
        <f t="shared" si="37"/>
        <v>"allowed_values":""</v>
      </c>
    </row>
    <row r="209" spans="1:20" ht="13" hidden="1" x14ac:dyDescent="0.15">
      <c r="A209" s="7">
        <v>224</v>
      </c>
      <c r="B209" s="6" t="s">
        <v>44</v>
      </c>
      <c r="C209" s="6" t="s">
        <v>125</v>
      </c>
      <c r="D209" s="4" t="s">
        <v>0</v>
      </c>
      <c r="E209" s="4" t="s">
        <v>0</v>
      </c>
      <c r="F209" s="4">
        <v>2</v>
      </c>
      <c r="G209" s="4" t="s">
        <v>591</v>
      </c>
      <c r="H209" s="4" t="s">
        <v>344</v>
      </c>
      <c r="I209" s="4" t="b">
        <v>0</v>
      </c>
      <c r="K209" s="4" t="b">
        <f>IF(COUNTIF($B$2:$B209,B209)&gt;1,TRUE,FALSE)</f>
        <v>1</v>
      </c>
      <c r="L209" t="str">
        <f t="shared" si="30"/>
        <v>p["suggest_persist_for"].update({"parameter":{"type":"string","subtype":"string","indent":2,"default_value":"","docs_url":"https://looker.com/docs/r/lookml/types/parameter/suggest_persist_for?version=7.14&amp;lookml=new","has_allowed_values":False,"allowed_values":""}})</v>
      </c>
      <c r="M209" t="str">
        <f t="shared" si="31"/>
        <v>{"suggest_persist_for":{"parameter":{"type":"string","subtype":"string","indent":2,"default_value":"","docs_url":"https://looker.com/docs/r/lookml/types/parameter/suggest_persist_for?version=7.14&amp;lookml=new","has_allowed_values":False,"allowed_values":""}}}</v>
      </c>
      <c r="N209" t="str">
        <f t="shared" si="32"/>
        <v>"type":"string",</v>
      </c>
      <c r="O209" t="str">
        <f t="shared" si="33"/>
        <v>"subtype":"string",</v>
      </c>
      <c r="P209" t="str">
        <f t="shared" si="34"/>
        <v>"indent":2,</v>
      </c>
      <c r="Q209" t="str">
        <f t="shared" si="38"/>
        <v>"default_value":"",</v>
      </c>
      <c r="R209" t="str">
        <f t="shared" si="35"/>
        <v>"docs_url":"https://looker.com/docs/r/lookml/types/parameter/suggest_persist_for?version=7.14&amp;lookml=new",</v>
      </c>
      <c r="S209" t="str">
        <f t="shared" si="36"/>
        <v>"has_allowed_values":False,</v>
      </c>
      <c r="T209" t="str">
        <f t="shared" si="37"/>
        <v>"allowed_values":""</v>
      </c>
    </row>
    <row r="210" spans="1:20" ht="13" hidden="1" x14ac:dyDescent="0.15">
      <c r="A210" s="7">
        <v>225</v>
      </c>
      <c r="B210" s="6" t="s">
        <v>2</v>
      </c>
      <c r="C210" s="6" t="s">
        <v>125</v>
      </c>
      <c r="D210" s="4" t="s">
        <v>95</v>
      </c>
      <c r="E210" s="4" t="s">
        <v>595</v>
      </c>
      <c r="F210" s="4">
        <v>2</v>
      </c>
      <c r="H210" s="4" t="s">
        <v>345</v>
      </c>
      <c r="I210" s="4" t="b">
        <v>0</v>
      </c>
      <c r="K210" s="4" t="b">
        <f>IF(COUNTIF($B$2:$B210,B210)&gt;1,TRUE,FALSE)</f>
        <v>1</v>
      </c>
      <c r="L210" t="str">
        <f t="shared" si="30"/>
        <v>p["alias"].update({"parameter":{"type":"list_unquoted","subtype":"identifier","indent":2,"default_value":"","docs_url":"https://looker.com/docs/r/lookml/types/parameter/alias?version=7.14&amp;lookml=new","has_allowed_values":False,"allowed_values":""}})</v>
      </c>
      <c r="M210" t="str">
        <f t="shared" si="31"/>
        <v>{"alias":{"parameter":{"type":"list_unquoted","subtype":"identifier","indent":2,"default_value":"","docs_url":"https://looker.com/docs/r/lookml/types/parameter/alias?version=7.14&amp;lookml=new","has_allowed_values":False,"allowed_values":""}}}</v>
      </c>
      <c r="N210" t="str">
        <f t="shared" si="32"/>
        <v>"type":"list_unquoted",</v>
      </c>
      <c r="O210" t="str">
        <f t="shared" si="33"/>
        <v>"subtype":"identifier",</v>
      </c>
      <c r="P210" t="str">
        <f t="shared" si="34"/>
        <v>"indent":2,</v>
      </c>
      <c r="Q210" t="str">
        <f t="shared" si="38"/>
        <v>"default_value":"",</v>
      </c>
      <c r="R210" t="str">
        <f t="shared" si="35"/>
        <v>"docs_url":"https://looker.com/docs/r/lookml/types/parameter/alias?version=7.14&amp;lookml=new",</v>
      </c>
      <c r="S210" t="str">
        <f t="shared" si="36"/>
        <v>"has_allowed_values":False,</v>
      </c>
      <c r="T210" t="str">
        <f t="shared" si="37"/>
        <v>"allowed_values":""</v>
      </c>
    </row>
    <row r="211" spans="1:20" ht="13" hidden="1" x14ac:dyDescent="0.15">
      <c r="A211" s="7">
        <v>226</v>
      </c>
      <c r="B211" s="6" t="s">
        <v>9</v>
      </c>
      <c r="C211" s="6" t="s">
        <v>125</v>
      </c>
      <c r="D211" s="4" t="s">
        <v>568</v>
      </c>
      <c r="E211" s="4" t="s">
        <v>568</v>
      </c>
      <c r="F211" s="4">
        <v>2</v>
      </c>
      <c r="G211" s="4" t="s">
        <v>604</v>
      </c>
      <c r="H211" s="4" t="s">
        <v>346</v>
      </c>
      <c r="I211" s="4" t="b">
        <v>0</v>
      </c>
      <c r="K211" s="4" t="b">
        <f>IF(COUNTIF($B$2:$B211,B211)&gt;1,TRUE,FALSE)</f>
        <v>1</v>
      </c>
      <c r="L211" t="str">
        <f t="shared" si="30"/>
        <v>p["convert_tz"].update({"parameter":{"type":"yesno","subtype":"yesno","indent":2,"default_value":"yes","docs_url":"https://looker.com/docs/r/lookml/types/parameter/convert_tz?version=7.14&amp;lookml=new","has_allowed_values":False,"allowed_values":""}})</v>
      </c>
      <c r="M211" t="str">
        <f t="shared" si="31"/>
        <v>{"convert_tz":{"parameter":{"type":"yesno","subtype":"yesno","indent":2,"default_value":"yes","docs_url":"https://looker.com/docs/r/lookml/types/parameter/convert_tz?version=7.14&amp;lookml=new","has_allowed_values":False,"allowed_values":""}}}</v>
      </c>
      <c r="N211" t="str">
        <f t="shared" si="32"/>
        <v>"type":"yesno",</v>
      </c>
      <c r="O211" t="str">
        <f t="shared" si="33"/>
        <v>"subtype":"yesno",</v>
      </c>
      <c r="P211" t="str">
        <f t="shared" si="34"/>
        <v>"indent":2,</v>
      </c>
      <c r="Q211" t="str">
        <f t="shared" si="38"/>
        <v>"default_value":"yes",</v>
      </c>
      <c r="R211" t="str">
        <f t="shared" si="35"/>
        <v>"docs_url":"https://looker.com/docs/r/lookml/types/parameter/convert_tz?version=7.14&amp;lookml=new",</v>
      </c>
      <c r="S211" t="str">
        <f t="shared" si="36"/>
        <v>"has_allowed_values":False,</v>
      </c>
      <c r="T211" t="str">
        <f t="shared" si="37"/>
        <v>"allowed_values":""</v>
      </c>
    </row>
    <row r="212" spans="1:20" ht="13" hidden="1" x14ac:dyDescent="0.15">
      <c r="A212" s="7">
        <v>227</v>
      </c>
      <c r="B212" s="6" t="s">
        <v>11</v>
      </c>
      <c r="C212" s="6" t="s">
        <v>125</v>
      </c>
      <c r="D212" s="4" t="s">
        <v>29</v>
      </c>
      <c r="E212" s="4" t="s">
        <v>0</v>
      </c>
      <c r="F212" s="4">
        <v>2</v>
      </c>
      <c r="G212" s="4" t="s">
        <v>591</v>
      </c>
      <c r="H212" s="4" t="s">
        <v>347</v>
      </c>
      <c r="I212" s="4" t="b">
        <v>0</v>
      </c>
      <c r="K212" s="4" t="b">
        <f>IF(COUNTIF($B$2:$B212,B212)&gt;1,TRUE,FALSE)</f>
        <v>1</v>
      </c>
      <c r="L212" t="str">
        <f t="shared" si="30"/>
        <v>p["description"].update({"parameter":{"type":"string","subtype":"possibly-localized-string","indent":2,"default_value":"","docs_url":"https://looker.com/docs/r/lookml/types/parameter/description?version=7.14&amp;lookml=new","has_allowed_values":False,"allowed_values":""}})</v>
      </c>
      <c r="M212" t="str">
        <f t="shared" si="31"/>
        <v>{"description":{"parameter":{"type":"string","subtype":"possibly-localized-string","indent":2,"default_value":"","docs_url":"https://looker.com/docs/r/lookml/types/parameter/description?version=7.14&amp;lookml=new","has_allowed_values":False,"allowed_values":""}}}</v>
      </c>
      <c r="N212" t="str">
        <f t="shared" si="32"/>
        <v>"type":"string",</v>
      </c>
      <c r="O212" t="str">
        <f t="shared" si="33"/>
        <v>"subtype":"possibly-localized-string",</v>
      </c>
      <c r="P212" t="str">
        <f t="shared" si="34"/>
        <v>"indent":2,</v>
      </c>
      <c r="Q212" t="str">
        <f t="shared" si="38"/>
        <v>"default_value":"",</v>
      </c>
      <c r="R212" t="str">
        <f t="shared" si="35"/>
        <v>"docs_url":"https://looker.com/docs/r/lookml/types/parameter/description?version=7.14&amp;lookml=new",</v>
      </c>
      <c r="S212" t="str">
        <f t="shared" si="36"/>
        <v>"has_allowed_values":False,</v>
      </c>
      <c r="T212" t="str">
        <f t="shared" si="37"/>
        <v>"allowed_values":""</v>
      </c>
    </row>
    <row r="213" spans="1:20" ht="13" hidden="1" x14ac:dyDescent="0.15">
      <c r="A213" s="7">
        <v>228</v>
      </c>
      <c r="B213" s="6" t="s">
        <v>21</v>
      </c>
      <c r="C213" s="6" t="s">
        <v>125</v>
      </c>
      <c r="D213" s="4" t="s">
        <v>568</v>
      </c>
      <c r="E213" s="4" t="s">
        <v>568</v>
      </c>
      <c r="F213" s="4">
        <v>2</v>
      </c>
      <c r="G213" s="4" t="s">
        <v>603</v>
      </c>
      <c r="H213" s="4" t="s">
        <v>348</v>
      </c>
      <c r="I213" s="4" t="b">
        <v>0</v>
      </c>
      <c r="K213" s="4" t="b">
        <f>IF(COUNTIF($B$2:$B213,B213)&gt;1,TRUE,FALSE)</f>
        <v>1</v>
      </c>
      <c r="L213" t="str">
        <f t="shared" si="30"/>
        <v>p["hidden"].update({"parameter":{"type":"yesno","subtype":"yesno","indent":2,"default_value":"no","docs_url":"https://looker.com/docs/r/lookml/types/parameter/hidden?version=7.14&amp;lookml=new","has_allowed_values":False,"allowed_values":""}})</v>
      </c>
      <c r="M213" t="str">
        <f t="shared" si="31"/>
        <v>{"hidden":{"parameter":{"type":"yesno","subtype":"yesno","indent":2,"default_value":"no","docs_url":"https://looker.com/docs/r/lookml/types/parameter/hidden?version=7.14&amp;lookml=new","has_allowed_values":False,"allowed_values":""}}}</v>
      </c>
      <c r="N213" t="str">
        <f t="shared" si="32"/>
        <v>"type":"yesno",</v>
      </c>
      <c r="O213" t="str">
        <f t="shared" si="33"/>
        <v>"subtype":"yesno",</v>
      </c>
      <c r="P213" t="str">
        <f t="shared" si="34"/>
        <v>"indent":2,</v>
      </c>
      <c r="Q213" t="str">
        <f t="shared" si="38"/>
        <v>"default_value":"no",</v>
      </c>
      <c r="R213" t="str">
        <f t="shared" si="35"/>
        <v>"docs_url":"https://looker.com/docs/r/lookml/types/parameter/hidden?version=7.14&amp;lookml=new",</v>
      </c>
      <c r="S213" t="str">
        <f t="shared" si="36"/>
        <v>"has_allowed_values":False,</v>
      </c>
      <c r="T213" t="str">
        <f t="shared" si="37"/>
        <v>"allowed_values":""</v>
      </c>
    </row>
    <row r="214" spans="1:20" ht="13" hidden="1" x14ac:dyDescent="0.15">
      <c r="A214" s="7">
        <v>229</v>
      </c>
      <c r="B214" s="6" t="s">
        <v>23</v>
      </c>
      <c r="C214" s="6" t="s">
        <v>125</v>
      </c>
      <c r="D214" s="4" t="s">
        <v>29</v>
      </c>
      <c r="E214" s="4" t="s">
        <v>0</v>
      </c>
      <c r="F214" s="4">
        <v>2</v>
      </c>
      <c r="G214" s="4" t="s">
        <v>591</v>
      </c>
      <c r="H214" s="4" t="s">
        <v>349</v>
      </c>
      <c r="I214" s="4" t="b">
        <v>0</v>
      </c>
      <c r="K214" s="4" t="b">
        <f>IF(COUNTIF($B$2:$B214,B214)&gt;1,TRUE,FALSE)</f>
        <v>1</v>
      </c>
      <c r="L214" t="str">
        <f t="shared" si="30"/>
        <v>p["label"].update({"parameter":{"type":"string","subtype":"possibly-localized-string","indent":2,"default_value":"","docs_url":"https://looker.com/docs/r/lookml/types/parameter/label?version=7.14&amp;lookml=new","has_allowed_values":False,"allowed_values":""}})</v>
      </c>
      <c r="M214" t="str">
        <f t="shared" si="31"/>
        <v>{"label":{"parameter":{"type":"string","subtype":"possibly-localized-string","indent":2,"default_value":"","docs_url":"https://looker.com/docs/r/lookml/types/parameter/label?version=7.14&amp;lookml=new","has_allowed_values":False,"allowed_values":""}}}</v>
      </c>
      <c r="N214" t="str">
        <f t="shared" si="32"/>
        <v>"type":"string",</v>
      </c>
      <c r="O214" t="str">
        <f t="shared" si="33"/>
        <v>"subtype":"possibly-localized-string",</v>
      </c>
      <c r="P214" t="str">
        <f t="shared" si="34"/>
        <v>"indent":2,</v>
      </c>
      <c r="Q214" t="str">
        <f t="shared" si="38"/>
        <v>"default_value":"",</v>
      </c>
      <c r="R214" t="str">
        <f t="shared" si="35"/>
        <v>"docs_url":"https://looker.com/docs/r/lookml/types/parameter/label?version=7.14&amp;lookml=new",</v>
      </c>
      <c r="S214" t="str">
        <f t="shared" si="36"/>
        <v>"has_allowed_values":False,</v>
      </c>
      <c r="T214" t="str">
        <f t="shared" si="37"/>
        <v>"allowed_values":""</v>
      </c>
    </row>
    <row r="215" spans="1:20" ht="13" hidden="1" x14ac:dyDescent="0.15">
      <c r="A215" s="7">
        <v>230</v>
      </c>
      <c r="B215" s="6" t="s">
        <v>31</v>
      </c>
      <c r="C215" s="6" t="s">
        <v>125</v>
      </c>
      <c r="D215" s="4" t="s">
        <v>610</v>
      </c>
      <c r="E215" s="4" t="s">
        <v>595</v>
      </c>
      <c r="F215" s="4">
        <v>2</v>
      </c>
      <c r="H215" s="4" t="s">
        <v>350</v>
      </c>
      <c r="I215" s="4" t="b">
        <v>0</v>
      </c>
      <c r="K215" s="4" t="b">
        <f>IF(COUNTIF($B$2:$B215,B215)&gt;1,TRUE,FALSE)</f>
        <v>1</v>
      </c>
      <c r="L215" t="str">
        <f t="shared" si="30"/>
        <v>p["required_access_grants"].update({"parameter":{"type":"list_unquoted","subtype":"access-grant-ref","indent":2,"default_value":"","docs_url":"https://looker.com/docs/r/lookml/types/parameter/required_access_grants?version=7.14&amp;lookml=new","has_allowed_values":False,"allowed_values":""}})</v>
      </c>
      <c r="M215" t="str">
        <f t="shared" si="31"/>
        <v>{"required_access_grants":{"parameter":{"type":"list_unquoted","subtype":"access-grant-ref","indent":2,"default_value":"","docs_url":"https://looker.com/docs/r/lookml/types/parameter/required_access_grants?version=7.14&amp;lookml=new","has_allowed_values":False,"allowed_values":""}}}</v>
      </c>
      <c r="N215" t="str">
        <f t="shared" si="32"/>
        <v>"type":"list_unquoted",</v>
      </c>
      <c r="O215" t="str">
        <f t="shared" si="33"/>
        <v>"subtype":"access-grant-ref",</v>
      </c>
      <c r="P215" t="str">
        <f t="shared" si="34"/>
        <v>"indent":2,</v>
      </c>
      <c r="Q215" t="str">
        <f t="shared" si="38"/>
        <v>"default_value":"",</v>
      </c>
      <c r="R215" t="str">
        <f t="shared" si="35"/>
        <v>"docs_url":"https://looker.com/docs/r/lookml/types/parameter/required_access_grants?version=7.14&amp;lookml=new",</v>
      </c>
      <c r="S215" t="str">
        <f t="shared" si="36"/>
        <v>"has_allowed_values":False,</v>
      </c>
      <c r="T215" t="str">
        <f t="shared" si="37"/>
        <v>"allowed_values":""</v>
      </c>
    </row>
    <row r="216" spans="1:20" ht="13" hidden="1" x14ac:dyDescent="0.15">
      <c r="A216" s="7">
        <v>231</v>
      </c>
      <c r="B216" s="6" t="s">
        <v>45</v>
      </c>
      <c r="C216" s="6" t="s">
        <v>125</v>
      </c>
      <c r="D216" s="4" t="s">
        <v>568</v>
      </c>
      <c r="E216" s="4" t="s">
        <v>568</v>
      </c>
      <c r="F216" s="4">
        <v>2</v>
      </c>
      <c r="G216" s="4" t="s">
        <v>604</v>
      </c>
      <c r="H216" s="4" t="s">
        <v>351</v>
      </c>
      <c r="I216" s="4" t="b">
        <v>0</v>
      </c>
      <c r="K216" s="4" t="b">
        <f>IF(COUNTIF($B$2:$B216,B216)&gt;1,TRUE,FALSE)</f>
        <v>1</v>
      </c>
      <c r="L216" t="str">
        <f t="shared" si="30"/>
        <v>p["suggestable"].update({"parameter":{"type":"yesno","subtype":"yesno","indent":2,"default_value":"yes","docs_url":"https://looker.com/docs/r/lookml/types/parameter/suggestable?version=7.14&amp;lookml=new","has_allowed_values":False,"allowed_values":""}})</v>
      </c>
      <c r="M216" t="str">
        <f t="shared" si="31"/>
        <v>{"suggestable":{"parameter":{"type":"yesno","subtype":"yesno","indent":2,"default_value":"yes","docs_url":"https://looker.com/docs/r/lookml/types/parameter/suggestable?version=7.14&amp;lookml=new","has_allowed_values":False,"allowed_values":""}}}</v>
      </c>
      <c r="N216" t="str">
        <f t="shared" si="32"/>
        <v>"type":"yesno",</v>
      </c>
      <c r="O216" t="str">
        <f t="shared" si="33"/>
        <v>"subtype":"yesno",</v>
      </c>
      <c r="P216" t="str">
        <f t="shared" si="34"/>
        <v>"indent":2,</v>
      </c>
      <c r="Q216" t="str">
        <f t="shared" si="38"/>
        <v>"default_value":"yes",</v>
      </c>
      <c r="R216" t="str">
        <f t="shared" si="35"/>
        <v>"docs_url":"https://looker.com/docs/r/lookml/types/parameter/suggestable?version=7.14&amp;lookml=new",</v>
      </c>
      <c r="S216" t="str">
        <f t="shared" si="36"/>
        <v>"has_allowed_values":False,</v>
      </c>
      <c r="T216" t="str">
        <f t="shared" si="37"/>
        <v>"allowed_values":""</v>
      </c>
    </row>
    <row r="217" spans="1:20" ht="13" hidden="1" x14ac:dyDescent="0.15">
      <c r="A217" s="7">
        <v>232</v>
      </c>
      <c r="B217" s="6" t="s">
        <v>47</v>
      </c>
      <c r="C217" s="6" t="s">
        <v>125</v>
      </c>
      <c r="D217" s="4" t="s">
        <v>597</v>
      </c>
      <c r="E217" s="4" t="s">
        <v>597</v>
      </c>
      <c r="F217" s="4">
        <v>2</v>
      </c>
      <c r="H217" s="4" t="s">
        <v>352</v>
      </c>
      <c r="I217" s="4" t="b">
        <v>0</v>
      </c>
      <c r="K217" s="4" t="b">
        <f>IF(COUNTIF($B$2:$B217,B217)&gt;1,TRUE,FALSE)</f>
        <v>1</v>
      </c>
      <c r="L217" t="str">
        <f t="shared" si="30"/>
        <v>p["tags"].update({"parameter":{"type":"list_quoted","subtype":"list_quoted","indent":2,"default_value":"","docs_url":"https://looker.com/docs/r/lookml/types/parameter/tags?version=7.14&amp;lookml=new","has_allowed_values":False,"allowed_values":""}})</v>
      </c>
      <c r="M217" t="str">
        <f t="shared" si="31"/>
        <v>{"tags":{"parameter":{"type":"list_quoted","subtype":"list_quoted","indent":2,"default_value":"","docs_url":"https://looker.com/docs/r/lookml/types/parameter/tags?version=7.14&amp;lookml=new","has_allowed_values":False,"allowed_values":""}}}</v>
      </c>
      <c r="N217" t="str">
        <f t="shared" si="32"/>
        <v>"type":"list_quoted",</v>
      </c>
      <c r="O217" t="str">
        <f t="shared" si="33"/>
        <v>"subtype":"list_quoted",</v>
      </c>
      <c r="P217" t="str">
        <f t="shared" si="34"/>
        <v>"indent":2,</v>
      </c>
      <c r="Q217" t="str">
        <f t="shared" si="38"/>
        <v>"default_value":"",</v>
      </c>
      <c r="R217" t="str">
        <f t="shared" si="35"/>
        <v>"docs_url":"https://looker.com/docs/r/lookml/types/parameter/tags?version=7.14&amp;lookml=new",</v>
      </c>
      <c r="S217" t="str">
        <f t="shared" si="36"/>
        <v>"has_allowed_values":False,</v>
      </c>
      <c r="T217" t="str">
        <f t="shared" si="37"/>
        <v>"allowed_values":""</v>
      </c>
    </row>
    <row r="218" spans="1:20" ht="13" hidden="1" x14ac:dyDescent="0.15">
      <c r="A218" s="7">
        <v>233</v>
      </c>
      <c r="B218" s="6" t="s">
        <v>49</v>
      </c>
      <c r="C218" s="6" t="s">
        <v>125</v>
      </c>
      <c r="D218" s="4" t="s">
        <v>550</v>
      </c>
      <c r="E218" s="4" t="s">
        <v>550</v>
      </c>
      <c r="F218" s="4">
        <v>2</v>
      </c>
      <c r="G218" s="4" t="s">
        <v>0</v>
      </c>
      <c r="H218" s="4" t="s">
        <v>353</v>
      </c>
      <c r="I218" s="4" t="b">
        <v>1</v>
      </c>
      <c r="J218" s="1" t="s">
        <v>590</v>
      </c>
      <c r="K218" s="4" t="b">
        <f>IF(COUNTIF($B$2:$B218,B218)&gt;1,TRUE,FALSE)</f>
        <v>1</v>
      </c>
      <c r="L218" t="str">
        <f t="shared" si="30"/>
        <v>p["type"].update({"parameter":{"type":"options","subtype":"options","indent":2,"default_value":"string","docs_url":"https://looker.com/docs/r/lookml/types/parameter/type?version=7.14&amp;lookml=new","has_allowed_values":True,"allowed_values":["date","date_time","number","string","unquoted","yesno"]}})</v>
      </c>
      <c r="M218" t="str">
        <f t="shared" si="31"/>
        <v>{"type":{"parameter":{"type":"options","subtype":"options","indent":2,"default_value":"string","docs_url":"https://looker.com/docs/r/lookml/types/parameter/type?version=7.14&amp;lookml=new","has_allowed_values":True,"allowed_values":["date","date_time","number","string","unquoted","yesno"]}}}</v>
      </c>
      <c r="N218" t="str">
        <f t="shared" si="32"/>
        <v>"type":"options",</v>
      </c>
      <c r="O218" t="str">
        <f t="shared" si="33"/>
        <v>"subtype":"options",</v>
      </c>
      <c r="P218" t="str">
        <f t="shared" si="34"/>
        <v>"indent":2,</v>
      </c>
      <c r="Q218" t="str">
        <f t="shared" si="38"/>
        <v>"default_value":"string",</v>
      </c>
      <c r="R218" t="str">
        <f t="shared" si="35"/>
        <v>"docs_url":"https://looker.com/docs/r/lookml/types/parameter/type?version=7.14&amp;lookml=new",</v>
      </c>
      <c r="S218" t="str">
        <f t="shared" si="36"/>
        <v>"has_allowed_values":True,</v>
      </c>
      <c r="T218" t="str">
        <f t="shared" si="37"/>
        <v>"allowed_values":["date","date_time","number","string","unquoted","yesno"]</v>
      </c>
    </row>
    <row r="219" spans="1:20" ht="13" hidden="1" x14ac:dyDescent="0.15">
      <c r="A219" s="7">
        <v>234</v>
      </c>
      <c r="B219" s="6" t="s">
        <v>42</v>
      </c>
      <c r="C219" s="6" t="s">
        <v>125</v>
      </c>
      <c r="D219" s="4" t="s">
        <v>17</v>
      </c>
      <c r="E219" s="1" t="s">
        <v>598</v>
      </c>
      <c r="F219" s="4">
        <v>2</v>
      </c>
      <c r="H219" s="4" t="s">
        <v>354</v>
      </c>
      <c r="I219" s="4" t="b">
        <v>0</v>
      </c>
      <c r="K219" s="4" t="b">
        <f>IF(COUNTIF($B$2:$B219,B219)&gt;1,TRUE,FALSE)</f>
        <v>1</v>
      </c>
      <c r="L219" t="str">
        <f t="shared" si="30"/>
        <v>p["suggest_dimension"].update({"parameter":{"type":"string_unquoted","subtype":"field-ref","indent":2,"default_value":"","docs_url":"https://looker.com/docs/r/lookml/types/parameter/suggest_dimension?version=7.14&amp;lookml=new","has_allowed_values":False,"allowed_values":""}})</v>
      </c>
      <c r="M219" t="str">
        <f t="shared" si="31"/>
        <v>{"suggest_dimension":{"parameter":{"type":"string_unquoted","subtype":"field-ref","indent":2,"default_value":"","docs_url":"https://looker.com/docs/r/lookml/types/parameter/suggest_dimension?version=7.14&amp;lookml=new","has_allowed_values":False,"allowed_values":""}}}</v>
      </c>
      <c r="N219" t="str">
        <f t="shared" si="32"/>
        <v>"type":"string_unquoted",</v>
      </c>
      <c r="O219" t="str">
        <f t="shared" si="33"/>
        <v>"subtype":"field-ref",</v>
      </c>
      <c r="P219" t="str">
        <f t="shared" si="34"/>
        <v>"indent":2,</v>
      </c>
      <c r="Q219" t="str">
        <f t="shared" si="38"/>
        <v>"default_value":"",</v>
      </c>
      <c r="R219" t="str">
        <f t="shared" si="35"/>
        <v>"docs_url":"https://looker.com/docs/r/lookml/types/parameter/suggest_dimension?version=7.14&amp;lookml=new",</v>
      </c>
      <c r="S219" t="str">
        <f t="shared" si="36"/>
        <v>"has_allowed_values":False,</v>
      </c>
      <c r="T219" t="str">
        <f t="shared" si="37"/>
        <v>"allowed_values":""</v>
      </c>
    </row>
    <row r="220" spans="1:20" ht="13" hidden="1" x14ac:dyDescent="0.15">
      <c r="A220" s="7">
        <v>235</v>
      </c>
      <c r="B220" s="6" t="s">
        <v>43</v>
      </c>
      <c r="C220" s="6" t="s">
        <v>125</v>
      </c>
      <c r="D220" s="4" t="s">
        <v>15</v>
      </c>
      <c r="E220" s="1" t="s">
        <v>598</v>
      </c>
      <c r="F220" s="4">
        <v>2</v>
      </c>
      <c r="H220" s="4" t="s">
        <v>355</v>
      </c>
      <c r="I220" s="4" t="b">
        <v>0</v>
      </c>
      <c r="K220" s="4" t="b">
        <f>IF(COUNTIF($B$2:$B220,B220)&gt;1,TRUE,FALSE)</f>
        <v>1</v>
      </c>
      <c r="L220" t="str">
        <f t="shared" si="30"/>
        <v>p["suggest_explore"].update({"parameter":{"type":"string_unquoted","subtype":"explore-ref","indent":2,"default_value":"","docs_url":"https://looker.com/docs/r/lookml/types/parameter/suggest_explore?version=7.14&amp;lookml=new","has_allowed_values":False,"allowed_values":""}})</v>
      </c>
      <c r="M220" t="str">
        <f t="shared" si="31"/>
        <v>{"suggest_explore":{"parameter":{"type":"string_unquoted","subtype":"explore-ref","indent":2,"default_value":"","docs_url":"https://looker.com/docs/r/lookml/types/parameter/suggest_explore?version=7.14&amp;lookml=new","has_allowed_values":False,"allowed_values":""}}}</v>
      </c>
      <c r="N220" t="str">
        <f t="shared" si="32"/>
        <v>"type":"string_unquoted",</v>
      </c>
      <c r="O220" t="str">
        <f t="shared" si="33"/>
        <v>"subtype":"explore-ref",</v>
      </c>
      <c r="P220" t="str">
        <f t="shared" si="34"/>
        <v>"indent":2,</v>
      </c>
      <c r="Q220" t="str">
        <f t="shared" si="38"/>
        <v>"default_value":"",</v>
      </c>
      <c r="R220" t="str">
        <f t="shared" si="35"/>
        <v>"docs_url":"https://looker.com/docs/r/lookml/types/parameter/suggest_explore?version=7.14&amp;lookml=new",</v>
      </c>
      <c r="S220" t="str">
        <f t="shared" si="36"/>
        <v>"has_allowed_values":False,</v>
      </c>
      <c r="T220" t="str">
        <f t="shared" si="37"/>
        <v>"allowed_values":""</v>
      </c>
    </row>
    <row r="221" spans="1:20" ht="13" hidden="1" x14ac:dyDescent="0.15">
      <c r="A221" s="7">
        <v>236</v>
      </c>
      <c r="B221" s="6" t="s">
        <v>54</v>
      </c>
      <c r="C221" s="6" t="s">
        <v>125</v>
      </c>
      <c r="D221" s="4" t="s">
        <v>29</v>
      </c>
      <c r="E221" s="4" t="s">
        <v>0</v>
      </c>
      <c r="F221" s="4">
        <v>2</v>
      </c>
      <c r="G221" s="4" t="s">
        <v>591</v>
      </c>
      <c r="H221" s="4" t="s">
        <v>356</v>
      </c>
      <c r="I221" s="4" t="b">
        <v>0</v>
      </c>
      <c r="K221" s="4" t="b">
        <f>IF(COUNTIF($B$2:$B221,B221)&gt;1,TRUE,FALSE)</f>
        <v>1</v>
      </c>
      <c r="L221" t="str">
        <f t="shared" si="30"/>
        <v>p["view_label"].update({"parameter":{"type":"string","subtype":"possibly-localized-string","indent":2,"default_value":"","docs_url":"https://looker.com/docs/r/lookml/types/parameter/view_label?version=7.14&amp;lookml=new","has_allowed_values":False,"allowed_values":""}})</v>
      </c>
      <c r="M221" t="str">
        <f t="shared" si="31"/>
        <v>{"view_label":{"parameter":{"type":"string","subtype":"possibly-localized-string","indent":2,"default_value":"","docs_url":"https://looker.com/docs/r/lookml/types/parameter/view_label?version=7.14&amp;lookml=new","has_allowed_values":False,"allowed_values":""}}}</v>
      </c>
      <c r="N221" t="str">
        <f t="shared" si="32"/>
        <v>"type":"string",</v>
      </c>
      <c r="O221" t="str">
        <f t="shared" si="33"/>
        <v>"subtype":"possibly-localized-string",</v>
      </c>
      <c r="P221" t="str">
        <f t="shared" si="34"/>
        <v>"indent":2,</v>
      </c>
      <c r="Q221" t="str">
        <f t="shared" si="38"/>
        <v>"default_value":"",</v>
      </c>
      <c r="R221" t="str">
        <f t="shared" si="35"/>
        <v>"docs_url":"https://looker.com/docs/r/lookml/types/parameter/view_label?version=7.14&amp;lookml=new",</v>
      </c>
      <c r="S221" t="str">
        <f t="shared" si="36"/>
        <v>"has_allowed_values":False,</v>
      </c>
      <c r="T221" t="str">
        <f t="shared" si="37"/>
        <v>"allowed_values":""</v>
      </c>
    </row>
    <row r="222" spans="1:20" ht="13" hidden="1" x14ac:dyDescent="0.15">
      <c r="A222" s="7">
        <v>239</v>
      </c>
      <c r="B222" s="6" t="s">
        <v>66</v>
      </c>
      <c r="C222" s="6" t="s">
        <v>70</v>
      </c>
      <c r="D222" s="4" t="s">
        <v>597</v>
      </c>
      <c r="E222" s="4" t="s">
        <v>597</v>
      </c>
      <c r="F222" s="4">
        <v>3</v>
      </c>
      <c r="H222" s="4" t="s">
        <v>357</v>
      </c>
      <c r="I222" s="4" t="b">
        <v>0</v>
      </c>
      <c r="K222" s="4" t="b">
        <f>IF(COUNTIF($B$2:$B222,B222)&gt;1,TRUE,FALSE)</f>
        <v>0</v>
      </c>
      <c r="L222" t="str">
        <f t="shared" si="30"/>
        <v>p.update({"cluster_keys":{"derived_table":{"type":"list_quoted","subtype":"list_quoted","indent":3,"default_value":"","docs_url":"https://looker.com/docs/r/lookml/types/derived_table/cluster_keys?version=7.14&amp;lookml=new","has_allowed_values":False,"allowed_values":""}}})</v>
      </c>
      <c r="M222" t="str">
        <f t="shared" si="31"/>
        <v>{"cluster_keys":{"derived_table":{"type":"list_quoted","subtype":"list_quoted","indent":3,"default_value":"","docs_url":"https://looker.com/docs/r/lookml/types/derived_table/cluster_keys?version=7.14&amp;lookml=new","has_allowed_values":False,"allowed_values":""}}}</v>
      </c>
      <c r="N222" t="str">
        <f t="shared" si="32"/>
        <v>"type":"list_quoted",</v>
      </c>
      <c r="O222" t="str">
        <f t="shared" si="33"/>
        <v>"subtype":"list_quoted",</v>
      </c>
      <c r="P222" t="str">
        <f t="shared" si="34"/>
        <v>"indent":3,</v>
      </c>
      <c r="Q222" t="str">
        <f t="shared" si="38"/>
        <v>"default_value":"",</v>
      </c>
      <c r="R222" t="str">
        <f t="shared" si="35"/>
        <v>"docs_url":"https://looker.com/docs/r/lookml/types/derived_table/cluster_keys?version=7.14&amp;lookml=new",</v>
      </c>
      <c r="S222" t="str">
        <f t="shared" si="36"/>
        <v>"has_allowed_values":False,</v>
      </c>
      <c r="T222" t="str">
        <f t="shared" si="37"/>
        <v>"allowed_values":""</v>
      </c>
    </row>
    <row r="223" spans="1:20" ht="13" hidden="1" x14ac:dyDescent="0.15">
      <c r="A223" s="7">
        <v>240</v>
      </c>
      <c r="B223" s="6" t="s">
        <v>67</v>
      </c>
      <c r="C223" s="6" t="s">
        <v>70</v>
      </c>
      <c r="D223" s="4" t="s">
        <v>539</v>
      </c>
      <c r="E223" s="4" t="s">
        <v>539</v>
      </c>
      <c r="F223" s="4">
        <v>3</v>
      </c>
      <c r="H223" s="4" t="s">
        <v>358</v>
      </c>
      <c r="I223" s="4" t="b">
        <v>0</v>
      </c>
      <c r="K223" s="4" t="b">
        <f>IF(COUNTIF($B$2:$B223,B223)&gt;1,TRUE,FALSE)</f>
        <v>0</v>
      </c>
      <c r="L223" t="str">
        <f t="shared" si="30"/>
        <v>p.update({"create_process":{"derived_table":{"type":"anonymous_construct","subtype":"anonymous_construct","indent":3,"default_value":"","docs_url":"https://looker.com/docs/r/lookml/types/derived_table/create_process?version=7.14&amp;lookml=new","has_allowed_values":False,"allowed_values":""}}})</v>
      </c>
      <c r="M223" t="str">
        <f t="shared" si="31"/>
        <v>{"create_process":{"derived_table":{"type":"anonymous_construct","subtype":"anonymous_construct","indent":3,"default_value":"","docs_url":"https://looker.com/docs/r/lookml/types/derived_table/create_process?version=7.14&amp;lookml=new","has_allowed_values":False,"allowed_values":""}}}</v>
      </c>
      <c r="N223" t="str">
        <f t="shared" si="32"/>
        <v>"type":"anonymous_construct",</v>
      </c>
      <c r="O223" t="str">
        <f t="shared" si="33"/>
        <v>"subtype":"anonymous_construct",</v>
      </c>
      <c r="P223" t="str">
        <f t="shared" si="34"/>
        <v>"indent":3,</v>
      </c>
      <c r="Q223" t="str">
        <f t="shared" si="38"/>
        <v>"default_value":"",</v>
      </c>
      <c r="R223" t="str">
        <f t="shared" si="35"/>
        <v>"docs_url":"https://looker.com/docs/r/lookml/types/derived_table/create_process?version=7.14&amp;lookml=new",</v>
      </c>
      <c r="S223" t="str">
        <f t="shared" si="36"/>
        <v>"has_allowed_values":False,</v>
      </c>
      <c r="T223" t="str">
        <f t="shared" si="37"/>
        <v>"allowed_values":""</v>
      </c>
    </row>
    <row r="224" spans="1:20" ht="13" hidden="1" x14ac:dyDescent="0.15">
      <c r="A224" s="7">
        <v>241</v>
      </c>
      <c r="B224" s="6" t="s">
        <v>69</v>
      </c>
      <c r="C224" s="6" t="s">
        <v>70</v>
      </c>
      <c r="D224" s="4" t="s">
        <v>68</v>
      </c>
      <c r="E224" s="1" t="s">
        <v>598</v>
      </c>
      <c r="F224" s="4">
        <v>3</v>
      </c>
      <c r="H224" s="4" t="s">
        <v>359</v>
      </c>
      <c r="I224" s="4" t="b">
        <v>0</v>
      </c>
      <c r="K224" s="4" t="b">
        <f>IF(COUNTIF($B$2:$B224,B224)&gt;1,TRUE,FALSE)</f>
        <v>0</v>
      </c>
      <c r="L224" t="str">
        <f t="shared" si="30"/>
        <v>p.update({"datagroup_trigger":{"derived_table":{"type":"string_unquoted","subtype":"datagroup-ref","indent":3,"default_value":"","docs_url":"https://looker.com/docs/r/lookml/types/derived_table/datagroup_trigger?version=7.14&amp;lookml=new","has_allowed_values":False,"allowed_values":""}}})</v>
      </c>
      <c r="M224" t="str">
        <f t="shared" si="31"/>
        <v>{"datagroup_trigger":{"derived_table":{"type":"string_unquoted","subtype":"datagroup-ref","indent":3,"default_value":"","docs_url":"https://looker.com/docs/r/lookml/types/derived_table/datagroup_trigger?version=7.14&amp;lookml=new","has_allowed_values":False,"allowed_values":""}}}</v>
      </c>
      <c r="N224" t="str">
        <f t="shared" si="32"/>
        <v>"type":"string_unquoted",</v>
      </c>
      <c r="O224" t="str">
        <f t="shared" si="33"/>
        <v>"subtype":"datagroup-ref",</v>
      </c>
      <c r="P224" t="str">
        <f t="shared" si="34"/>
        <v>"indent":3,</v>
      </c>
      <c r="Q224" t="str">
        <f t="shared" si="38"/>
        <v>"default_value":"",</v>
      </c>
      <c r="R224" t="str">
        <f t="shared" si="35"/>
        <v>"docs_url":"https://looker.com/docs/r/lookml/types/derived_table/datagroup_trigger?version=7.14&amp;lookml=new",</v>
      </c>
      <c r="S224" t="str">
        <f t="shared" si="36"/>
        <v>"has_allowed_values":False,</v>
      </c>
      <c r="T224" t="str">
        <f t="shared" si="37"/>
        <v>"allowed_values":""</v>
      </c>
    </row>
    <row r="225" spans="1:20" ht="13" hidden="1" x14ac:dyDescent="0.15">
      <c r="A225" s="7">
        <v>242</v>
      </c>
      <c r="B225" s="6" t="s">
        <v>71</v>
      </c>
      <c r="C225" s="6" t="s">
        <v>70</v>
      </c>
      <c r="D225" s="4" t="s">
        <v>0</v>
      </c>
      <c r="E225" s="4" t="s">
        <v>0</v>
      </c>
      <c r="F225" s="4">
        <v>3</v>
      </c>
      <c r="G225" s="4" t="s">
        <v>591</v>
      </c>
      <c r="H225" s="4" t="s">
        <v>360</v>
      </c>
      <c r="I225" s="4" t="b">
        <v>0</v>
      </c>
      <c r="K225" s="4" t="b">
        <f>IF(COUNTIF($B$2:$B225,B225)&gt;1,TRUE,FALSE)</f>
        <v>0</v>
      </c>
      <c r="L225" t="str">
        <f t="shared" si="30"/>
        <v>p.update({"distribution":{"derived_table":{"type":"string","subtype":"string","indent":3,"default_value":"","docs_url":"https://looker.com/docs/r/lookml/types/derived_table/distribution?version=7.14&amp;lookml=new","has_allowed_values":False,"allowed_values":""}}})</v>
      </c>
      <c r="M225" t="str">
        <f t="shared" si="31"/>
        <v>{"distribution":{"derived_table":{"type":"string","subtype":"string","indent":3,"default_value":"","docs_url":"https://looker.com/docs/r/lookml/types/derived_table/distribution?version=7.14&amp;lookml=new","has_allowed_values":False,"allowed_values":""}}}</v>
      </c>
      <c r="N225" t="str">
        <f t="shared" si="32"/>
        <v>"type":"string",</v>
      </c>
      <c r="O225" t="str">
        <f t="shared" si="33"/>
        <v>"subtype":"string",</v>
      </c>
      <c r="P225" t="str">
        <f t="shared" si="34"/>
        <v>"indent":3,</v>
      </c>
      <c r="Q225" t="str">
        <f t="shared" si="38"/>
        <v>"default_value":"",</v>
      </c>
      <c r="R225" t="str">
        <f t="shared" si="35"/>
        <v>"docs_url":"https://looker.com/docs/r/lookml/types/derived_table/distribution?version=7.14&amp;lookml=new",</v>
      </c>
      <c r="S225" t="str">
        <f t="shared" si="36"/>
        <v>"has_allowed_values":False,</v>
      </c>
      <c r="T225" t="str">
        <f t="shared" si="37"/>
        <v>"allowed_values":""</v>
      </c>
    </row>
    <row r="226" spans="1:20" ht="13" hidden="1" x14ac:dyDescent="0.15">
      <c r="A226" s="7">
        <v>243</v>
      </c>
      <c r="B226" s="6" t="s">
        <v>72</v>
      </c>
      <c r="C226" s="6" t="s">
        <v>70</v>
      </c>
      <c r="D226" s="4" t="s">
        <v>550</v>
      </c>
      <c r="E226" s="4" t="s">
        <v>550</v>
      </c>
      <c r="F226" s="4">
        <v>3</v>
      </c>
      <c r="G226" s="4" t="s">
        <v>565</v>
      </c>
      <c r="H226" s="4" t="s">
        <v>361</v>
      </c>
      <c r="I226" s="4" t="b">
        <v>1</v>
      </c>
      <c r="J226" s="4" t="s">
        <v>566</v>
      </c>
      <c r="K226" s="4" t="b">
        <f>IF(COUNTIF($B$2:$B226,B226)&gt;1,TRUE,FALSE)</f>
        <v>0</v>
      </c>
      <c r="L226" t="str">
        <f t="shared" si="30"/>
        <v>p.update({"distribution_style":{"derived_table":{"type":"options","subtype":"options","indent":3,"default_value":"even","docs_url":"https://looker.com/docs/r/lookml/types/derived_table/distribution_style?version=7.14&amp;lookml=new","has_allowed_values":True,"allowed_values":["all","even"]}}})</v>
      </c>
      <c r="M226" t="str">
        <f t="shared" si="31"/>
        <v>{"distribution_style":{"derived_table":{"type":"options","subtype":"options","indent":3,"default_value":"even","docs_url":"https://looker.com/docs/r/lookml/types/derived_table/distribution_style?version=7.14&amp;lookml=new","has_allowed_values":True,"allowed_values":["all","even"]}}}</v>
      </c>
      <c r="N226" t="str">
        <f t="shared" si="32"/>
        <v>"type":"options",</v>
      </c>
      <c r="O226" t="str">
        <f t="shared" si="33"/>
        <v>"subtype":"options",</v>
      </c>
      <c r="P226" t="str">
        <f t="shared" si="34"/>
        <v>"indent":3,</v>
      </c>
      <c r="Q226" t="str">
        <f t="shared" si="38"/>
        <v>"default_value":"even",</v>
      </c>
      <c r="R226" t="str">
        <f t="shared" si="35"/>
        <v>"docs_url":"https://looker.com/docs/r/lookml/types/derived_table/distribution_style?version=7.14&amp;lookml=new",</v>
      </c>
      <c r="S226" t="str">
        <f t="shared" si="36"/>
        <v>"has_allowed_values":True,</v>
      </c>
      <c r="T226" t="str">
        <f t="shared" si="37"/>
        <v>"allowed_values":["all","even"]</v>
      </c>
    </row>
    <row r="227" spans="1:20" ht="13" hidden="1" x14ac:dyDescent="0.15">
      <c r="A227" s="7">
        <v>244</v>
      </c>
      <c r="B227" s="6" t="s">
        <v>73</v>
      </c>
      <c r="C227" s="6" t="s">
        <v>70</v>
      </c>
      <c r="D227" s="4" t="s">
        <v>15</v>
      </c>
      <c r="E227" s="1" t="s">
        <v>608</v>
      </c>
      <c r="F227" s="4">
        <v>3</v>
      </c>
      <c r="H227" s="4" t="s">
        <v>362</v>
      </c>
      <c r="I227" s="4" t="b">
        <v>0</v>
      </c>
      <c r="K227" s="4" t="b">
        <f>IF(COUNTIF($B$2:$B227,B227)&gt;1,TRUE,FALSE)</f>
        <v>0</v>
      </c>
      <c r="L227" t="str">
        <f t="shared" si="30"/>
        <v>p.update({"explore_source":{"derived_table":{"type":"named_construct_single","subtype":"explore-ref","indent":3,"default_value":"","docs_url":"https://looker.com/docs/r/lookml/types/derived_table/explore_source?version=7.14&amp;lookml=new","has_allowed_values":False,"allowed_values":""}}})</v>
      </c>
      <c r="M227" t="str">
        <f t="shared" si="31"/>
        <v>{"explore_source":{"derived_table":{"type":"named_construct_single","subtype":"explore-ref","indent":3,"default_value":"","docs_url":"https://looker.com/docs/r/lookml/types/derived_table/explore_source?version=7.14&amp;lookml=new","has_allowed_values":False,"allowed_values":""}}}</v>
      </c>
      <c r="N227" t="str">
        <f t="shared" si="32"/>
        <v>"type":"named_construct_single",</v>
      </c>
      <c r="O227" t="str">
        <f t="shared" si="33"/>
        <v>"subtype":"explore-ref",</v>
      </c>
      <c r="P227" t="str">
        <f t="shared" si="34"/>
        <v>"indent":3,</v>
      </c>
      <c r="Q227" t="str">
        <f t="shared" si="38"/>
        <v>"default_value":"",</v>
      </c>
      <c r="R227" t="str">
        <f t="shared" si="35"/>
        <v>"docs_url":"https://looker.com/docs/r/lookml/types/derived_table/explore_source?version=7.14&amp;lookml=new",</v>
      </c>
      <c r="S227" t="str">
        <f t="shared" si="36"/>
        <v>"has_allowed_values":False,</v>
      </c>
      <c r="T227" t="str">
        <f t="shared" si="37"/>
        <v>"allowed_values":""</v>
      </c>
    </row>
    <row r="228" spans="1:20" ht="13" hidden="1" x14ac:dyDescent="0.15">
      <c r="A228" s="7">
        <v>245</v>
      </c>
      <c r="B228" s="6" t="s">
        <v>74</v>
      </c>
      <c r="C228" s="6" t="s">
        <v>70</v>
      </c>
      <c r="D228" s="4" t="s">
        <v>597</v>
      </c>
      <c r="E228" s="4" t="s">
        <v>597</v>
      </c>
      <c r="F228" s="4">
        <v>3</v>
      </c>
      <c r="H228" s="4" t="s">
        <v>363</v>
      </c>
      <c r="I228" s="4" t="b">
        <v>0</v>
      </c>
      <c r="K228" s="4" t="b">
        <f>IF(COUNTIF($B$2:$B228,B228)&gt;1,TRUE,FALSE)</f>
        <v>0</v>
      </c>
      <c r="L228" t="str">
        <f t="shared" si="30"/>
        <v>p.update({"indexes":{"derived_table":{"type":"list_quoted","subtype":"list_quoted","indent":3,"default_value":"","docs_url":"https://looker.com/docs/r/lookml/types/derived_table/indexes?version=7.14&amp;lookml=new","has_allowed_values":False,"allowed_values":""}}})</v>
      </c>
      <c r="M228" t="str">
        <f t="shared" si="31"/>
        <v>{"indexes":{"derived_table":{"type":"list_quoted","subtype":"list_quoted","indent":3,"default_value":"","docs_url":"https://looker.com/docs/r/lookml/types/derived_table/indexes?version=7.14&amp;lookml=new","has_allowed_values":False,"allowed_values":""}}}</v>
      </c>
      <c r="N228" t="str">
        <f t="shared" si="32"/>
        <v>"type":"list_quoted",</v>
      </c>
      <c r="O228" t="str">
        <f t="shared" si="33"/>
        <v>"subtype":"list_quoted",</v>
      </c>
      <c r="P228" t="str">
        <f t="shared" si="34"/>
        <v>"indent":3,</v>
      </c>
      <c r="Q228" t="str">
        <f t="shared" si="38"/>
        <v>"default_value":"",</v>
      </c>
      <c r="R228" t="str">
        <f t="shared" si="35"/>
        <v>"docs_url":"https://looker.com/docs/r/lookml/types/derived_table/indexes?version=7.14&amp;lookml=new",</v>
      </c>
      <c r="S228" t="str">
        <f t="shared" si="36"/>
        <v>"has_allowed_values":False,</v>
      </c>
      <c r="T228" t="str">
        <f t="shared" si="37"/>
        <v>"allowed_values":""</v>
      </c>
    </row>
    <row r="229" spans="1:20" ht="13" hidden="1" x14ac:dyDescent="0.15">
      <c r="A229" s="7">
        <v>246</v>
      </c>
      <c r="B229" s="6" t="s">
        <v>75</v>
      </c>
      <c r="C229" s="6" t="s">
        <v>70</v>
      </c>
      <c r="D229" s="4" t="s">
        <v>597</v>
      </c>
      <c r="E229" s="4" t="s">
        <v>597</v>
      </c>
      <c r="F229" s="4">
        <v>3</v>
      </c>
      <c r="H229" s="4" t="s">
        <v>364</v>
      </c>
      <c r="I229" s="4" t="b">
        <v>0</v>
      </c>
      <c r="K229" s="4" t="b">
        <f>IF(COUNTIF($B$2:$B229,B229)&gt;1,TRUE,FALSE)</f>
        <v>0</v>
      </c>
      <c r="L229" t="str">
        <f t="shared" si="30"/>
        <v>p.update({"partition_keys":{"derived_table":{"type":"list_quoted","subtype":"list_quoted","indent":3,"default_value":"","docs_url":"https://looker.com/docs/r/lookml/types/derived_table/partition_keys?version=7.14&amp;lookml=new","has_allowed_values":False,"allowed_values":""}}})</v>
      </c>
      <c r="M229" t="str">
        <f t="shared" si="31"/>
        <v>{"partition_keys":{"derived_table":{"type":"list_quoted","subtype":"list_quoted","indent":3,"default_value":"","docs_url":"https://looker.com/docs/r/lookml/types/derived_table/partition_keys?version=7.14&amp;lookml=new","has_allowed_values":False,"allowed_values":""}}}</v>
      </c>
      <c r="N229" t="str">
        <f t="shared" si="32"/>
        <v>"type":"list_quoted",</v>
      </c>
      <c r="O229" t="str">
        <f t="shared" si="33"/>
        <v>"subtype":"list_quoted",</v>
      </c>
      <c r="P229" t="str">
        <f t="shared" si="34"/>
        <v>"indent":3,</v>
      </c>
      <c r="Q229" t="str">
        <f t="shared" si="38"/>
        <v>"default_value":"",</v>
      </c>
      <c r="R229" t="str">
        <f t="shared" si="35"/>
        <v>"docs_url":"https://looker.com/docs/r/lookml/types/derived_table/partition_keys?version=7.14&amp;lookml=new",</v>
      </c>
      <c r="S229" t="str">
        <f t="shared" si="36"/>
        <v>"has_allowed_values":False,</v>
      </c>
      <c r="T229" t="str">
        <f t="shared" si="37"/>
        <v>"allowed_values":""</v>
      </c>
    </row>
    <row r="230" spans="1:20" ht="13" hidden="1" x14ac:dyDescent="0.15">
      <c r="A230" s="7">
        <v>247</v>
      </c>
      <c r="B230" s="6" t="s">
        <v>76</v>
      </c>
      <c r="C230" s="6" t="s">
        <v>70</v>
      </c>
      <c r="D230" s="4" t="s">
        <v>0</v>
      </c>
      <c r="E230" s="4" t="s">
        <v>0</v>
      </c>
      <c r="F230" s="4">
        <v>3</v>
      </c>
      <c r="G230" s="4" t="s">
        <v>591</v>
      </c>
      <c r="H230" s="4" t="s">
        <v>365</v>
      </c>
      <c r="I230" s="4" t="b">
        <v>0</v>
      </c>
      <c r="K230" s="4" t="b">
        <f>IF(COUNTIF($B$2:$B230,B230)&gt;1,TRUE,FALSE)</f>
        <v>1</v>
      </c>
      <c r="L230" t="str">
        <f t="shared" si="30"/>
        <v>p["persist_for"].update({"derived_table":{"type":"string","subtype":"string","indent":3,"default_value":"","docs_url":"https://looker.com/docs/r/lookml/types/derived_table/persist_for?version=7.14&amp;lookml=new","has_allowed_values":False,"allowed_values":""}})</v>
      </c>
      <c r="M230" t="str">
        <f t="shared" si="31"/>
        <v>{"persist_for":{"derived_table":{"type":"string","subtype":"string","indent":3,"default_value":"","docs_url":"https://looker.com/docs/r/lookml/types/derived_table/persist_for?version=7.14&amp;lookml=new","has_allowed_values":False,"allowed_values":""}}}</v>
      </c>
      <c r="N230" t="str">
        <f t="shared" si="32"/>
        <v>"type":"string",</v>
      </c>
      <c r="O230" t="str">
        <f t="shared" si="33"/>
        <v>"subtype":"string",</v>
      </c>
      <c r="P230" t="str">
        <f t="shared" si="34"/>
        <v>"indent":3,</v>
      </c>
      <c r="Q230" t="str">
        <f t="shared" si="38"/>
        <v>"default_value":"",</v>
      </c>
      <c r="R230" t="str">
        <f t="shared" si="35"/>
        <v>"docs_url":"https://looker.com/docs/r/lookml/types/derived_table/persist_for?version=7.14&amp;lookml=new",</v>
      </c>
      <c r="S230" t="str">
        <f t="shared" si="36"/>
        <v>"has_allowed_values":False,</v>
      </c>
      <c r="T230" t="str">
        <f t="shared" si="37"/>
        <v>"allowed_values":""</v>
      </c>
    </row>
    <row r="231" spans="1:20" ht="13" hidden="1" x14ac:dyDescent="0.15">
      <c r="A231" s="7">
        <v>248</v>
      </c>
      <c r="B231" s="6" t="s">
        <v>78</v>
      </c>
      <c r="C231" s="6" t="s">
        <v>70</v>
      </c>
      <c r="D231" s="4" t="s">
        <v>597</v>
      </c>
      <c r="E231" s="4" t="s">
        <v>597</v>
      </c>
      <c r="F231" s="4">
        <v>3</v>
      </c>
      <c r="H231" s="4" t="s">
        <v>366</v>
      </c>
      <c r="I231" s="4" t="b">
        <v>0</v>
      </c>
      <c r="K231" s="4" t="b">
        <f>IF(COUNTIF($B$2:$B231,B231)&gt;1,TRUE,FALSE)</f>
        <v>0</v>
      </c>
      <c r="L231" t="str">
        <f t="shared" si="30"/>
        <v>p.update({"sortkeys":{"derived_table":{"type":"list_quoted","subtype":"list_quoted","indent":3,"default_value":"","docs_url":"https://looker.com/docs/r/lookml/types/derived_table/sortkeys?version=7.14&amp;lookml=new","has_allowed_values":False,"allowed_values":""}}})</v>
      </c>
      <c r="M231" t="str">
        <f t="shared" si="31"/>
        <v>{"sortkeys":{"derived_table":{"type":"list_quoted","subtype":"list_quoted","indent":3,"default_value":"","docs_url":"https://looker.com/docs/r/lookml/types/derived_table/sortkeys?version=7.14&amp;lookml=new","has_allowed_values":False,"allowed_values":""}}}</v>
      </c>
      <c r="N231" t="str">
        <f t="shared" si="32"/>
        <v>"type":"list_quoted",</v>
      </c>
      <c r="O231" t="str">
        <f t="shared" si="33"/>
        <v>"subtype":"list_quoted",</v>
      </c>
      <c r="P231" t="str">
        <f t="shared" si="34"/>
        <v>"indent":3,</v>
      </c>
      <c r="Q231" t="str">
        <f t="shared" si="38"/>
        <v>"default_value":"",</v>
      </c>
      <c r="R231" t="str">
        <f t="shared" si="35"/>
        <v>"docs_url":"https://looker.com/docs/r/lookml/types/derived_table/sortkeys?version=7.14&amp;lookml=new",</v>
      </c>
      <c r="S231" t="str">
        <f t="shared" si="36"/>
        <v>"has_allowed_values":False,</v>
      </c>
      <c r="T231" t="str">
        <f t="shared" si="37"/>
        <v>"allowed_values":""</v>
      </c>
    </row>
    <row r="232" spans="1:20" ht="13" hidden="1" x14ac:dyDescent="0.15">
      <c r="A232" s="7">
        <v>249</v>
      </c>
      <c r="B232" s="6" t="s">
        <v>34</v>
      </c>
      <c r="C232" s="6" t="s">
        <v>70</v>
      </c>
      <c r="D232" s="4" t="s">
        <v>611</v>
      </c>
      <c r="E232" s="4" t="s">
        <v>34</v>
      </c>
      <c r="F232" s="4">
        <v>3</v>
      </c>
      <c r="G232" s="4" t="s">
        <v>591</v>
      </c>
      <c r="H232" s="4" t="s">
        <v>367</v>
      </c>
      <c r="I232" s="4" t="b">
        <v>0</v>
      </c>
      <c r="K232" s="4" t="b">
        <f>IF(COUNTIF($B$2:$B232,B232)&gt;1,TRUE,FALSE)</f>
        <v>1</v>
      </c>
      <c r="L232" t="str">
        <f t="shared" si="30"/>
        <v>p["sql"].update({"derived_table":{"type":"sql","subtype":"sql-block ","indent":3,"default_value":"","docs_url":"https://looker.com/docs/r/lookml/types/derived_table/sql?version=7.14&amp;lookml=new","has_allowed_values":False,"allowed_values":""}})</v>
      </c>
      <c r="M232" t="str">
        <f t="shared" si="31"/>
        <v>{"sql":{"derived_table":{"type":"sql","subtype":"sql-block ","indent":3,"default_value":"","docs_url":"https://looker.com/docs/r/lookml/types/derived_table/sql?version=7.14&amp;lookml=new","has_allowed_values":False,"allowed_values":""}}}</v>
      </c>
      <c r="N232" t="str">
        <f t="shared" si="32"/>
        <v>"type":"sql",</v>
      </c>
      <c r="O232" t="str">
        <f t="shared" si="33"/>
        <v>"subtype":"sql-block ",</v>
      </c>
      <c r="P232" t="str">
        <f t="shared" si="34"/>
        <v>"indent":3,</v>
      </c>
      <c r="Q232" t="str">
        <f t="shared" si="38"/>
        <v>"default_value":"",</v>
      </c>
      <c r="R232" t="str">
        <f t="shared" si="35"/>
        <v>"docs_url":"https://looker.com/docs/r/lookml/types/derived_table/sql?version=7.14&amp;lookml=new",</v>
      </c>
      <c r="S232" t="str">
        <f t="shared" si="36"/>
        <v>"has_allowed_values":False,</v>
      </c>
      <c r="T232" t="str">
        <f t="shared" si="37"/>
        <v>"allowed_values":""</v>
      </c>
    </row>
    <row r="233" spans="1:20" ht="13" hidden="1" x14ac:dyDescent="0.15">
      <c r="A233" s="7">
        <v>250</v>
      </c>
      <c r="B233" s="6" t="s">
        <v>79</v>
      </c>
      <c r="C233" s="6" t="s">
        <v>70</v>
      </c>
      <c r="D233" s="4" t="s">
        <v>611</v>
      </c>
      <c r="E233" s="4" t="s">
        <v>34</v>
      </c>
      <c r="F233" s="4">
        <v>3</v>
      </c>
      <c r="G233" s="4" t="s">
        <v>591</v>
      </c>
      <c r="H233" s="4" t="s">
        <v>368</v>
      </c>
      <c r="I233" s="4" t="b">
        <v>0</v>
      </c>
      <c r="K233" s="4" t="b">
        <f>IF(COUNTIF($B$2:$B233,B233)&gt;1,TRUE,FALSE)</f>
        <v>0</v>
      </c>
      <c r="L233" t="str">
        <f t="shared" si="30"/>
        <v>p.update({"sql_create":{"derived_table":{"type":"sql","subtype":"sql-block ","indent":3,"default_value":"","docs_url":"https://looker.com/docs/r/lookml/types/derived_table/sql_create?version=7.14&amp;lookml=new","has_allowed_values":False,"allowed_values":""}}})</v>
      </c>
      <c r="M233" t="str">
        <f t="shared" si="31"/>
        <v>{"sql_create":{"derived_table":{"type":"sql","subtype":"sql-block ","indent":3,"default_value":"","docs_url":"https://looker.com/docs/r/lookml/types/derived_table/sql_create?version=7.14&amp;lookml=new","has_allowed_values":False,"allowed_values":""}}}</v>
      </c>
      <c r="N233" t="str">
        <f t="shared" si="32"/>
        <v>"type":"sql",</v>
      </c>
      <c r="O233" t="str">
        <f t="shared" si="33"/>
        <v>"subtype":"sql-block ",</v>
      </c>
      <c r="P233" t="str">
        <f t="shared" si="34"/>
        <v>"indent":3,</v>
      </c>
      <c r="Q233" t="str">
        <f t="shared" si="38"/>
        <v>"default_value":"",</v>
      </c>
      <c r="R233" t="str">
        <f t="shared" si="35"/>
        <v>"docs_url":"https://looker.com/docs/r/lookml/types/derived_table/sql_create?version=7.14&amp;lookml=new",</v>
      </c>
      <c r="S233" t="str">
        <f t="shared" si="36"/>
        <v>"has_allowed_values":False,</v>
      </c>
      <c r="T233" t="str">
        <f t="shared" si="37"/>
        <v>"allowed_values":""</v>
      </c>
    </row>
    <row r="234" spans="1:20" ht="13" hidden="1" x14ac:dyDescent="0.15">
      <c r="A234" s="7">
        <v>251</v>
      </c>
      <c r="B234" s="6" t="s">
        <v>80</v>
      </c>
      <c r="C234" s="6" t="s">
        <v>70</v>
      </c>
      <c r="D234" s="4" t="s">
        <v>611</v>
      </c>
      <c r="E234" s="4" t="s">
        <v>34</v>
      </c>
      <c r="F234" s="4">
        <v>3</v>
      </c>
      <c r="G234" s="4" t="s">
        <v>591</v>
      </c>
      <c r="H234" s="4" t="s">
        <v>369</v>
      </c>
      <c r="I234" s="4" t="b">
        <v>0</v>
      </c>
      <c r="K234" s="4" t="b">
        <f>IF(COUNTIF($B$2:$B234,B234)&gt;1,TRUE,FALSE)</f>
        <v>0</v>
      </c>
      <c r="L234" t="str">
        <f t="shared" si="30"/>
        <v>p.update({"sql_trigger_value":{"derived_table":{"type":"sql","subtype":"sql-block ","indent":3,"default_value":"","docs_url":"https://looker.com/docs/r/lookml/types/derived_table/sql_trigger_value?version=7.14&amp;lookml=new","has_allowed_values":False,"allowed_values":""}}})</v>
      </c>
      <c r="M234" t="str">
        <f t="shared" si="31"/>
        <v>{"sql_trigger_value":{"derived_table":{"type":"sql","subtype":"sql-block ","indent":3,"default_value":"","docs_url":"https://looker.com/docs/r/lookml/types/derived_table/sql_trigger_value?version=7.14&amp;lookml=new","has_allowed_values":False,"allowed_values":""}}}</v>
      </c>
      <c r="N234" t="str">
        <f t="shared" si="32"/>
        <v>"type":"sql",</v>
      </c>
      <c r="O234" t="str">
        <f t="shared" si="33"/>
        <v>"subtype":"sql-block ",</v>
      </c>
      <c r="P234" t="str">
        <f t="shared" si="34"/>
        <v>"indent":3,</v>
      </c>
      <c r="Q234" t="str">
        <f t="shared" si="38"/>
        <v>"default_value":"",</v>
      </c>
      <c r="R234" t="str">
        <f t="shared" si="35"/>
        <v>"docs_url":"https://looker.com/docs/r/lookml/types/derived_table/sql_trigger_value?version=7.14&amp;lookml=new",</v>
      </c>
      <c r="S234" t="str">
        <f t="shared" si="36"/>
        <v>"has_allowed_values":False,</v>
      </c>
      <c r="T234" t="str">
        <f t="shared" si="37"/>
        <v>"allowed_values":""</v>
      </c>
    </row>
    <row r="235" spans="1:20" ht="13" hidden="1" x14ac:dyDescent="0.15">
      <c r="A235" s="7">
        <v>252</v>
      </c>
      <c r="B235" s="6" t="s">
        <v>81</v>
      </c>
      <c r="C235" s="6" t="s">
        <v>70</v>
      </c>
      <c r="D235" s="4" t="s">
        <v>550</v>
      </c>
      <c r="E235" s="4" t="s">
        <v>550</v>
      </c>
      <c r="F235" s="4">
        <v>3</v>
      </c>
      <c r="G235" s="4" t="s">
        <v>564</v>
      </c>
      <c r="H235" s="4" t="s">
        <v>370</v>
      </c>
      <c r="I235" s="4" t="b">
        <v>1</v>
      </c>
      <c r="J235" s="4" t="s">
        <v>563</v>
      </c>
      <c r="K235" s="4" t="b">
        <f>IF(COUNTIF($B$2:$B235,B235)&gt;1,TRUE,FALSE)</f>
        <v>0</v>
      </c>
      <c r="L235" t="str">
        <f t="shared" si="30"/>
        <v>p.update({"table_compression":{"derived_table":{"type":"options","subtype":"options","indent":3,"default_value":"GZIP","docs_url":"https://looker.com/docs/r/lookml/types/derived_table/table_compression?version=7.14&amp;lookml=new","has_allowed_values":True,"allowed_values":["GZIP", "SNAPPY"]}}})</v>
      </c>
      <c r="M235" t="str">
        <f t="shared" si="31"/>
        <v>{"table_compression":{"derived_table":{"type":"options","subtype":"options","indent":3,"default_value":"GZIP","docs_url":"https://looker.com/docs/r/lookml/types/derived_table/table_compression?version=7.14&amp;lookml=new","has_allowed_values":True,"allowed_values":["GZIP", "SNAPPY"]}}}</v>
      </c>
      <c r="N235" t="str">
        <f t="shared" si="32"/>
        <v>"type":"options",</v>
      </c>
      <c r="O235" t="str">
        <f t="shared" si="33"/>
        <v>"subtype":"options",</v>
      </c>
      <c r="P235" t="str">
        <f t="shared" si="34"/>
        <v>"indent":3,</v>
      </c>
      <c r="Q235" t="str">
        <f t="shared" si="38"/>
        <v>"default_value":"GZIP",</v>
      </c>
      <c r="R235" t="str">
        <f t="shared" si="35"/>
        <v>"docs_url":"https://looker.com/docs/r/lookml/types/derived_table/table_compression?version=7.14&amp;lookml=new",</v>
      </c>
      <c r="S235" t="str">
        <f t="shared" si="36"/>
        <v>"has_allowed_values":True,</v>
      </c>
      <c r="T235" t="str">
        <f t="shared" si="37"/>
        <v>"allowed_values":["GZIP", "SNAPPY"]</v>
      </c>
    </row>
    <row r="236" spans="1:20" ht="13" hidden="1" x14ac:dyDescent="0.15">
      <c r="A236" s="7">
        <v>253</v>
      </c>
      <c r="B236" s="6" t="s">
        <v>82</v>
      </c>
      <c r="C236" s="6" t="s">
        <v>70</v>
      </c>
      <c r="D236" s="4" t="s">
        <v>550</v>
      </c>
      <c r="E236" s="4" t="s">
        <v>550</v>
      </c>
      <c r="F236" s="4">
        <v>3</v>
      </c>
      <c r="G236" s="4" t="s">
        <v>561</v>
      </c>
      <c r="H236" s="4" t="s">
        <v>371</v>
      </c>
      <c r="I236" s="4" t="b">
        <v>1</v>
      </c>
      <c r="J236" s="4" t="s">
        <v>562</v>
      </c>
      <c r="K236" s="4" t="b">
        <f>IF(COUNTIF($B$2:$B236,B236)&gt;1,TRUE,FALSE)</f>
        <v>0</v>
      </c>
      <c r="L236" t="str">
        <f t="shared" si="30"/>
        <v>p.update({"table_format":{"derived_table":{"type":"options","subtype":"options","indent":3,"default_value":"PARQUET","docs_url":"https://looker.com/docs/r/lookml/types/derived_table/table_format?version=7.14&amp;lookml=new","has_allowed_values":True,"allowed_values":["PARQUET", "ORC", "AVRO", "JSON", "TEXTFILE"]}}})</v>
      </c>
      <c r="M236" t="str">
        <f t="shared" si="31"/>
        <v>{"table_format":{"derived_table":{"type":"options","subtype":"options","indent":3,"default_value":"PARQUET","docs_url":"https://looker.com/docs/r/lookml/types/derived_table/table_format?version=7.14&amp;lookml=new","has_allowed_values":True,"allowed_values":["PARQUET", "ORC", "AVRO", "JSON", "TEXTFILE"]}}}</v>
      </c>
      <c r="N236" t="str">
        <f t="shared" si="32"/>
        <v>"type":"options",</v>
      </c>
      <c r="O236" t="str">
        <f t="shared" si="33"/>
        <v>"subtype":"options",</v>
      </c>
      <c r="P236" t="str">
        <f t="shared" si="34"/>
        <v>"indent":3,</v>
      </c>
      <c r="Q236" t="str">
        <f t="shared" si="38"/>
        <v>"default_value":"PARQUET",</v>
      </c>
      <c r="R236" t="str">
        <f t="shared" si="35"/>
        <v>"docs_url":"https://looker.com/docs/r/lookml/types/derived_table/table_format?version=7.14&amp;lookml=new",</v>
      </c>
      <c r="S236" t="str">
        <f t="shared" si="36"/>
        <v>"has_allowed_values":True,</v>
      </c>
      <c r="T236" t="str">
        <f t="shared" si="37"/>
        <v>"allowed_values":["PARQUET", "ORC", "AVRO", "JSON", "TEXTFILE"]</v>
      </c>
    </row>
    <row r="237" spans="1:20" ht="13" hidden="1" x14ac:dyDescent="0.15">
      <c r="A237" s="7">
        <v>254</v>
      </c>
      <c r="B237" s="6" t="s">
        <v>77</v>
      </c>
      <c r="C237" s="6" t="s">
        <v>70</v>
      </c>
      <c r="D237" s="4" t="s">
        <v>568</v>
      </c>
      <c r="E237" s="4" t="s">
        <v>568</v>
      </c>
      <c r="F237" s="4">
        <v>3</v>
      </c>
      <c r="G237" s="4" t="s">
        <v>603</v>
      </c>
      <c r="H237" s="4" t="s">
        <v>372</v>
      </c>
      <c r="I237" s="4" t="b">
        <v>0</v>
      </c>
      <c r="K237" s="4" t="b">
        <f>IF(COUNTIF($B$2:$B237,B237)&gt;1,TRUE,FALSE)</f>
        <v>0</v>
      </c>
      <c r="L237" t="str">
        <f t="shared" si="30"/>
        <v>p.update({"publish_as_db_view":{"derived_table":{"type":"yesno","subtype":"yesno","indent":3,"default_value":"no","docs_url":"https://looker.com/docs/r/lookml/types/derived_table/publish_as_db_view?version=7.14&amp;lookml=new","has_allowed_values":False,"allowed_values":""}}})</v>
      </c>
      <c r="M237" t="str">
        <f t="shared" si="31"/>
        <v>{"publish_as_db_view":{"derived_table":{"type":"yesno","subtype":"yesno","indent":3,"default_value":"no","docs_url":"https://looker.com/docs/r/lookml/types/derived_table/publish_as_db_view?version=7.14&amp;lookml=new","has_allowed_values":False,"allowed_values":""}}}</v>
      </c>
      <c r="N237" t="str">
        <f t="shared" si="32"/>
        <v>"type":"yesno",</v>
      </c>
      <c r="O237" t="str">
        <f t="shared" si="33"/>
        <v>"subtype":"yesno",</v>
      </c>
      <c r="P237" t="str">
        <f t="shared" si="34"/>
        <v>"indent":3,</v>
      </c>
      <c r="Q237" t="str">
        <f t="shared" si="38"/>
        <v>"default_value":"no",</v>
      </c>
      <c r="R237" t="str">
        <f t="shared" si="35"/>
        <v>"docs_url":"https://looker.com/docs/r/lookml/types/derived_table/publish_as_db_view?version=7.14&amp;lookml=new",</v>
      </c>
      <c r="S237" t="str">
        <f t="shared" si="36"/>
        <v>"has_allowed_values":False,</v>
      </c>
      <c r="T237" t="str">
        <f t="shared" si="37"/>
        <v>"allowed_values":""</v>
      </c>
    </row>
    <row r="238" spans="1:20" ht="13" hidden="1" x14ac:dyDescent="0.15">
      <c r="A238" s="7">
        <v>257</v>
      </c>
      <c r="B238" s="6" t="s">
        <v>486</v>
      </c>
      <c r="C238" s="6" t="s">
        <v>73</v>
      </c>
      <c r="D238" s="4" t="s">
        <v>537</v>
      </c>
      <c r="E238" s="4" t="s">
        <v>596</v>
      </c>
      <c r="F238" s="4">
        <v>4</v>
      </c>
      <c r="G238" s="4" t="s">
        <v>591</v>
      </c>
      <c r="H238" s="4" t="s">
        <v>373</v>
      </c>
      <c r="I238" s="4" t="b">
        <v>0</v>
      </c>
      <c r="K238" s="4" t="b">
        <f>IF(COUNTIF($B$2:$B238,B238)&gt;1,TRUE,FALSE)</f>
        <v>0</v>
      </c>
      <c r="L238" t="str">
        <f t="shared" si="30"/>
        <v>p.update({"expression_custom_filter":{"explore_source":{"type":"expression","subtype":"expression-block","indent":4,"default_value":"","docs_url":"https://looker.com/docs/r/lookml/types/explore_source/expression_custom_filter?version=7.14&amp;lookml=new","has_allowed_values":False,"allowed_values":""}}})</v>
      </c>
      <c r="M238" t="str">
        <f t="shared" si="31"/>
        <v>{"expression_custom_filter":{"explore_source":{"type":"expression","subtype":"expression-block","indent":4,"default_value":"","docs_url":"https://looker.com/docs/r/lookml/types/explore_source/expression_custom_filter?version=7.14&amp;lookml=new","has_allowed_values":False,"allowed_values":""}}}</v>
      </c>
      <c r="N238" t="str">
        <f t="shared" si="32"/>
        <v>"type":"expression",</v>
      </c>
      <c r="O238" t="str">
        <f t="shared" si="33"/>
        <v>"subtype":"expression-block",</v>
      </c>
      <c r="P238" t="str">
        <f t="shared" si="34"/>
        <v>"indent":4,</v>
      </c>
      <c r="Q238" t="str">
        <f t="shared" si="38"/>
        <v>"default_value":"",</v>
      </c>
      <c r="R238" t="str">
        <f t="shared" si="35"/>
        <v>"docs_url":"https://looker.com/docs/r/lookml/types/explore_source/expression_custom_filter?version=7.14&amp;lookml=new",</v>
      </c>
      <c r="S238" t="str">
        <f t="shared" si="36"/>
        <v>"has_allowed_values":False,</v>
      </c>
      <c r="T238" t="str">
        <f t="shared" si="37"/>
        <v>"allowed_values":""</v>
      </c>
    </row>
    <row r="239" spans="1:20" ht="13" hidden="1" x14ac:dyDescent="0.15">
      <c r="A239" s="7">
        <v>258</v>
      </c>
      <c r="B239" s="6" t="s">
        <v>59</v>
      </c>
      <c r="C239" s="6" t="s">
        <v>73</v>
      </c>
      <c r="D239" s="4" t="s">
        <v>95</v>
      </c>
      <c r="E239" s="4" t="s">
        <v>59</v>
      </c>
      <c r="F239" s="4">
        <v>4</v>
      </c>
      <c r="H239" s="4" t="s">
        <v>374</v>
      </c>
      <c r="I239" s="4" t="b">
        <v>0</v>
      </c>
      <c r="K239" s="4" t="b">
        <f>IF(COUNTIF($B$2:$B239,B239)&gt;1,TRUE,FALSE)</f>
        <v>1</v>
      </c>
      <c r="L239" t="str">
        <f t="shared" si="30"/>
        <v>p["filters"].update({"explore_source":{"type":"filters","subtype":"identifier","indent":4,"default_value":"","docs_url":"https://looker.com/docs/r/lookml/types/explore_source/filters?version=7.14&amp;lookml=new","has_allowed_values":False,"allowed_values":""}})</v>
      </c>
      <c r="M239" t="str">
        <f t="shared" si="31"/>
        <v>{"filters":{"explore_source":{"type":"filters","subtype":"identifier","indent":4,"default_value":"","docs_url":"https://looker.com/docs/r/lookml/types/explore_source/filters?version=7.14&amp;lookml=new","has_allowed_values":False,"allowed_values":""}}}</v>
      </c>
      <c r="N239" t="str">
        <f t="shared" si="32"/>
        <v>"type":"filters",</v>
      </c>
      <c r="O239" t="str">
        <f t="shared" si="33"/>
        <v>"subtype":"identifier",</v>
      </c>
      <c r="P239" t="str">
        <f t="shared" si="34"/>
        <v>"indent":4,</v>
      </c>
      <c r="Q239" t="str">
        <f t="shared" si="38"/>
        <v>"default_value":"",</v>
      </c>
      <c r="R239" t="str">
        <f t="shared" si="35"/>
        <v>"docs_url":"https://looker.com/docs/r/lookml/types/explore_source/filters?version=7.14&amp;lookml=new",</v>
      </c>
      <c r="S239" t="str">
        <f t="shared" si="36"/>
        <v>"has_allowed_values":False,</v>
      </c>
      <c r="T239" t="str">
        <f t="shared" si="37"/>
        <v>"allowed_values":""</v>
      </c>
    </row>
    <row r="240" spans="1:20" ht="13" hidden="1" x14ac:dyDescent="0.15">
      <c r="A240" s="7">
        <v>259</v>
      </c>
      <c r="B240" s="6" t="s">
        <v>487</v>
      </c>
      <c r="C240" s="6" t="s">
        <v>73</v>
      </c>
      <c r="D240" s="4" t="s">
        <v>62</v>
      </c>
      <c r="E240" s="4" t="s">
        <v>598</v>
      </c>
      <c r="F240" s="4">
        <v>4</v>
      </c>
      <c r="G240" s="4">
        <v>5000</v>
      </c>
      <c r="H240" s="4" t="s">
        <v>375</v>
      </c>
      <c r="I240" s="4" t="b">
        <v>0</v>
      </c>
      <c r="K240" s="4" t="b">
        <f>IF(COUNTIF($B$2:$B240,B240)&gt;1,TRUE,FALSE)</f>
        <v>0</v>
      </c>
      <c r="L240" t="str">
        <f t="shared" si="30"/>
        <v>p.update({"limit":{"explore_source":{"type":"string_unquoted","subtype":"number","indent":4,"default_value":"5000","docs_url":"https://looker.com/docs/r/lookml/types/explore_source/limit?version=7.14&amp;lookml=new","has_allowed_values":False,"allowed_values":""}}})</v>
      </c>
      <c r="M240" t="str">
        <f t="shared" si="31"/>
        <v>{"limit":{"explore_source":{"type":"string_unquoted","subtype":"number","indent":4,"default_value":"5000","docs_url":"https://looker.com/docs/r/lookml/types/explore_source/limit?version=7.14&amp;lookml=new","has_allowed_values":False,"allowed_values":""}}}</v>
      </c>
      <c r="N240" t="str">
        <f t="shared" si="32"/>
        <v>"type":"string_unquoted",</v>
      </c>
      <c r="O240" t="str">
        <f t="shared" si="33"/>
        <v>"subtype":"number",</v>
      </c>
      <c r="P240" t="str">
        <f t="shared" si="34"/>
        <v>"indent":4,</v>
      </c>
      <c r="Q240" t="str">
        <f t="shared" si="38"/>
        <v>"default_value":"5000",</v>
      </c>
      <c r="R240" t="str">
        <f t="shared" si="35"/>
        <v>"docs_url":"https://looker.com/docs/r/lookml/types/explore_source/limit?version=7.14&amp;lookml=new",</v>
      </c>
      <c r="S240" t="str">
        <f t="shared" si="36"/>
        <v>"has_allowed_values":False,</v>
      </c>
      <c r="T240" t="str">
        <f t="shared" si="37"/>
        <v>"allowed_values":""</v>
      </c>
    </row>
    <row r="241" spans="1:20" ht="13" hidden="1" x14ac:dyDescent="0.15">
      <c r="A241" s="7">
        <v>260</v>
      </c>
      <c r="B241" s="6" t="s">
        <v>129</v>
      </c>
      <c r="C241" s="6" t="s">
        <v>73</v>
      </c>
      <c r="D241" s="4" t="s">
        <v>95</v>
      </c>
      <c r="E241" s="4" t="s">
        <v>592</v>
      </c>
      <c r="F241" s="4">
        <v>4</v>
      </c>
      <c r="H241" s="4" t="s">
        <v>376</v>
      </c>
      <c r="I241" s="4" t="b">
        <v>0</v>
      </c>
      <c r="K241" s="4" t="b">
        <f>IF(COUNTIF($B$2:$B241,B241)&gt;1,TRUE,FALSE)</f>
        <v>0</v>
      </c>
      <c r="L241" t="str">
        <f t="shared" si="30"/>
        <v>p.update({"column":{"explore_source":{"type":"named_construct","subtype":"identifier","indent":4,"default_value":"","docs_url":"https://looker.com/docs/r/lookml/types/explore_source/column?version=7.14&amp;lookml=new","has_allowed_values":False,"allowed_values":""}}})</v>
      </c>
      <c r="M241" t="str">
        <f t="shared" si="31"/>
        <v>{"column":{"explore_source":{"type":"named_construct","subtype":"identifier","indent":4,"default_value":"","docs_url":"https://looker.com/docs/r/lookml/types/explore_source/column?version=7.14&amp;lookml=new","has_allowed_values":False,"allowed_values":""}}}</v>
      </c>
      <c r="N241" t="str">
        <f t="shared" si="32"/>
        <v>"type":"named_construct",</v>
      </c>
      <c r="O241" t="str">
        <f t="shared" si="33"/>
        <v>"subtype":"identifier",</v>
      </c>
      <c r="P241" t="str">
        <f t="shared" si="34"/>
        <v>"indent":4,</v>
      </c>
      <c r="Q241" t="str">
        <f t="shared" si="38"/>
        <v>"default_value":"",</v>
      </c>
      <c r="R241" t="str">
        <f t="shared" si="35"/>
        <v>"docs_url":"https://looker.com/docs/r/lookml/types/explore_source/column?version=7.14&amp;lookml=new",</v>
      </c>
      <c r="S241" t="str">
        <f t="shared" si="36"/>
        <v>"has_allowed_values":False,</v>
      </c>
      <c r="T241" t="str">
        <f t="shared" si="37"/>
        <v>"allowed_values":""</v>
      </c>
    </row>
    <row r="242" spans="1:20" ht="13" hidden="1" x14ac:dyDescent="0.15">
      <c r="A242" s="7">
        <v>261</v>
      </c>
      <c r="B242" s="6" t="s">
        <v>130</v>
      </c>
      <c r="C242" s="6" t="s">
        <v>73</v>
      </c>
      <c r="D242" s="4" t="s">
        <v>95</v>
      </c>
      <c r="E242" s="4" t="s">
        <v>592</v>
      </c>
      <c r="F242" s="4">
        <v>4</v>
      </c>
      <c r="H242" s="4" t="s">
        <v>377</v>
      </c>
      <c r="I242" s="4" t="b">
        <v>0</v>
      </c>
      <c r="K242" s="4" t="b">
        <f>IF(COUNTIF($B$2:$B242,B242)&gt;1,TRUE,FALSE)</f>
        <v>0</v>
      </c>
      <c r="L242" t="str">
        <f t="shared" si="30"/>
        <v>p.update({"derived_column":{"explore_source":{"type":"named_construct","subtype":"identifier","indent":4,"default_value":"","docs_url":"https://looker.com/docs/r/lookml/types/explore_source/derived_column?version=7.14&amp;lookml=new","has_allowed_values":False,"allowed_values":""}}})</v>
      </c>
      <c r="M242" t="str">
        <f t="shared" si="31"/>
        <v>{"derived_column":{"explore_source":{"type":"named_construct","subtype":"identifier","indent":4,"default_value":"","docs_url":"https://looker.com/docs/r/lookml/types/explore_source/derived_column?version=7.14&amp;lookml=new","has_allowed_values":False,"allowed_values":""}}}</v>
      </c>
      <c r="N242" t="str">
        <f t="shared" si="32"/>
        <v>"type":"named_construct",</v>
      </c>
      <c r="O242" t="str">
        <f t="shared" si="33"/>
        <v>"subtype":"identifier",</v>
      </c>
      <c r="P242" t="str">
        <f t="shared" si="34"/>
        <v>"indent":4,</v>
      </c>
      <c r="Q242" t="str">
        <f t="shared" si="38"/>
        <v>"default_value":"",</v>
      </c>
      <c r="R242" t="str">
        <f t="shared" si="35"/>
        <v>"docs_url":"https://looker.com/docs/r/lookml/types/explore_source/derived_column?version=7.14&amp;lookml=new",</v>
      </c>
      <c r="S242" t="str">
        <f t="shared" si="36"/>
        <v>"has_allowed_values":False,</v>
      </c>
      <c r="T242" t="str">
        <f t="shared" si="37"/>
        <v>"allowed_values":""</v>
      </c>
    </row>
    <row r="243" spans="1:20" ht="13" hidden="1" x14ac:dyDescent="0.15">
      <c r="A243" s="7">
        <v>262</v>
      </c>
      <c r="B243" s="6" t="s">
        <v>488</v>
      </c>
      <c r="C243" s="6" t="s">
        <v>73</v>
      </c>
      <c r="D243" s="4" t="s">
        <v>568</v>
      </c>
      <c r="E243" s="4" t="s">
        <v>568</v>
      </c>
      <c r="F243" s="4">
        <v>4</v>
      </c>
      <c r="G243" s="4" t="s">
        <v>603</v>
      </c>
      <c r="H243" s="4" t="s">
        <v>378</v>
      </c>
      <c r="I243" s="4" t="b">
        <v>0</v>
      </c>
      <c r="K243" s="4" t="b">
        <f>IF(COUNTIF($B$2:$B243,B243)&gt;1,TRUE,FALSE)</f>
        <v>0</v>
      </c>
      <c r="L243" t="str">
        <f t="shared" si="30"/>
        <v>p.update({"bind_all_filters":{"explore_source":{"type":"yesno","subtype":"yesno","indent":4,"default_value":"no","docs_url":"https://looker.com/docs/r/lookml/types/explore_source/bind_all_filters?version=7.14&amp;lookml=new","has_allowed_values":False,"allowed_values":""}}})</v>
      </c>
      <c r="M243" t="str">
        <f t="shared" si="31"/>
        <v>{"bind_all_filters":{"explore_source":{"type":"yesno","subtype":"yesno","indent":4,"default_value":"no","docs_url":"https://looker.com/docs/r/lookml/types/explore_source/bind_all_filters?version=7.14&amp;lookml=new","has_allowed_values":False,"allowed_values":""}}}</v>
      </c>
      <c r="N243" t="str">
        <f t="shared" si="32"/>
        <v>"type":"yesno",</v>
      </c>
      <c r="O243" t="str">
        <f t="shared" si="33"/>
        <v>"subtype":"yesno",</v>
      </c>
      <c r="P243" t="str">
        <f t="shared" si="34"/>
        <v>"indent":4,</v>
      </c>
      <c r="Q243" t="str">
        <f t="shared" si="38"/>
        <v>"default_value":"no",</v>
      </c>
      <c r="R243" t="str">
        <f t="shared" si="35"/>
        <v>"docs_url":"https://looker.com/docs/r/lookml/types/explore_source/bind_all_filters?version=7.14&amp;lookml=new",</v>
      </c>
      <c r="S243" t="str">
        <f t="shared" si="36"/>
        <v>"has_allowed_values":False,</v>
      </c>
      <c r="T243" t="str">
        <f t="shared" si="37"/>
        <v>"allowed_values":""</v>
      </c>
    </row>
    <row r="244" spans="1:20" ht="13" hidden="1" x14ac:dyDescent="0.15">
      <c r="A244" s="7">
        <v>263</v>
      </c>
      <c r="B244" s="6" t="s">
        <v>131</v>
      </c>
      <c r="C244" s="6" t="s">
        <v>73</v>
      </c>
      <c r="D244" s="4" t="s">
        <v>540</v>
      </c>
      <c r="E244" s="4" t="s">
        <v>540</v>
      </c>
      <c r="F244" s="4">
        <v>4</v>
      </c>
      <c r="H244" s="4" t="s">
        <v>379</v>
      </c>
      <c r="I244" s="4" t="b">
        <v>0</v>
      </c>
      <c r="K244" s="4" t="b">
        <f>IF(COUNTIF($B$2:$B244,B244)&gt;1,TRUE,FALSE)</f>
        <v>0</v>
      </c>
      <c r="L244" t="str">
        <f t="shared" si="30"/>
        <v>p.update({"bind_filters":{"explore_source":{"type":"anonymous_construct_plural","subtype":"anonymous_construct_plural","indent":4,"default_value":"","docs_url":"https://looker.com/docs/r/lookml/types/explore_source/bind_filters?version=7.14&amp;lookml=new","has_allowed_values":False,"allowed_values":""}}})</v>
      </c>
      <c r="M244" t="str">
        <f t="shared" si="31"/>
        <v>{"bind_filters":{"explore_source":{"type":"anonymous_construct_plural","subtype":"anonymous_construct_plural","indent":4,"default_value":"","docs_url":"https://looker.com/docs/r/lookml/types/explore_source/bind_filters?version=7.14&amp;lookml=new","has_allowed_values":False,"allowed_values":""}}}</v>
      </c>
      <c r="N244" t="str">
        <f t="shared" si="32"/>
        <v>"type":"anonymous_construct_plural",</v>
      </c>
      <c r="O244" t="str">
        <f t="shared" si="33"/>
        <v>"subtype":"anonymous_construct_plural",</v>
      </c>
      <c r="P244" t="str">
        <f t="shared" si="34"/>
        <v>"indent":4,</v>
      </c>
      <c r="Q244" t="str">
        <f t="shared" si="38"/>
        <v>"default_value":"",</v>
      </c>
      <c r="R244" t="str">
        <f t="shared" si="35"/>
        <v>"docs_url":"https://looker.com/docs/r/lookml/types/explore_source/bind_filters?version=7.14&amp;lookml=new",</v>
      </c>
      <c r="S244" t="str">
        <f t="shared" si="36"/>
        <v>"has_allowed_values":False,</v>
      </c>
      <c r="T244" t="str">
        <f t="shared" si="37"/>
        <v>"allowed_values":""</v>
      </c>
    </row>
    <row r="245" spans="1:20" ht="13" hidden="1" x14ac:dyDescent="0.15">
      <c r="A245" s="7">
        <v>264</v>
      </c>
      <c r="B245" s="6" t="s">
        <v>489</v>
      </c>
      <c r="C245" s="6" t="s">
        <v>73</v>
      </c>
      <c r="D245" s="4" t="s">
        <v>538</v>
      </c>
      <c r="E245" s="4" t="s">
        <v>489</v>
      </c>
      <c r="F245" s="4">
        <v>4</v>
      </c>
      <c r="H245" s="10" t="s">
        <v>380</v>
      </c>
      <c r="I245" s="4" t="b">
        <v>0</v>
      </c>
      <c r="K245" s="4" t="b">
        <f>IF(COUNTIF($B$2:$B245,B245)&gt;1,TRUE,FALSE)</f>
        <v>0</v>
      </c>
      <c r="L245" t="str">
        <f t="shared" si="30"/>
        <v>p.update({"sorts":{"explore_source":{"type":"sorts","subtype":"field-ref-to-sort-map","indent":4,"default_value":"","docs_url":"https://looker.com/docs/r/lookml/types/explore_source/sorts?version=7.14&amp;lookml=new","has_allowed_values":False,"allowed_values":""}}})</v>
      </c>
      <c r="M245" t="str">
        <f t="shared" si="31"/>
        <v>{"sorts":{"explore_source":{"type":"sorts","subtype":"field-ref-to-sort-map","indent":4,"default_value":"","docs_url":"https://looker.com/docs/r/lookml/types/explore_source/sorts?version=7.14&amp;lookml=new","has_allowed_values":False,"allowed_values":""}}}</v>
      </c>
      <c r="N245" t="str">
        <f t="shared" si="32"/>
        <v>"type":"sorts",</v>
      </c>
      <c r="O245" t="str">
        <f t="shared" si="33"/>
        <v>"subtype":"field-ref-to-sort-map",</v>
      </c>
      <c r="P245" t="str">
        <f t="shared" si="34"/>
        <v>"indent":4,</v>
      </c>
      <c r="Q245" t="str">
        <f t="shared" si="38"/>
        <v>"default_value":"",</v>
      </c>
      <c r="R245" t="str">
        <f t="shared" si="35"/>
        <v>"docs_url":"https://looker.com/docs/r/lookml/types/explore_source/sorts?version=7.14&amp;lookml=new",</v>
      </c>
      <c r="S245" t="str">
        <f t="shared" si="36"/>
        <v>"has_allowed_values":False,</v>
      </c>
      <c r="T245" t="str">
        <f t="shared" si="37"/>
        <v>"allowed_values":""</v>
      </c>
    </row>
    <row r="246" spans="1:20" ht="13" hidden="1" x14ac:dyDescent="0.15">
      <c r="A246" s="7">
        <v>265</v>
      </c>
      <c r="B246" s="6" t="s">
        <v>490</v>
      </c>
      <c r="C246" s="6" t="s">
        <v>73</v>
      </c>
      <c r="D246" s="4" t="s">
        <v>550</v>
      </c>
      <c r="E246" s="4" t="s">
        <v>550</v>
      </c>
      <c r="F246" s="4">
        <v>4</v>
      </c>
      <c r="G246" s="4" t="s">
        <v>557</v>
      </c>
      <c r="H246" s="4" t="s">
        <v>381</v>
      </c>
      <c r="I246" s="4" t="b">
        <v>1</v>
      </c>
      <c r="J246" t="s">
        <v>560</v>
      </c>
      <c r="K246" s="4" t="b">
        <f>IF(COUNTIF($B$2:$B246,B246)&gt;1,TRUE,FALSE)</f>
        <v>0</v>
      </c>
      <c r="L246" t="str">
        <f t="shared" si="30"/>
        <v>p.update({"timezone":{"explore_source":{"type":"options","subtype":"options","indent":4,"default_value":"America/Los_Angeles","docs_url":"https://looker.com/docs/r/lookml/types/explore_source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})</v>
      </c>
      <c r="M246" t="str">
        <f t="shared" si="31"/>
        <v>{"timezone":{"explore_source":{"type":"options","subtype":"options","indent":4,"default_value":"America/Los_Angeles","docs_url":"https://looker.com/docs/r/lookml/types/explore_source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}</v>
      </c>
      <c r="N246" t="str">
        <f t="shared" si="32"/>
        <v>"type":"options",</v>
      </c>
      <c r="O246" t="str">
        <f t="shared" si="33"/>
        <v>"subtype":"options",</v>
      </c>
      <c r="P246" t="str">
        <f t="shared" si="34"/>
        <v>"indent":4,</v>
      </c>
      <c r="Q246" t="str">
        <f t="shared" si="38"/>
        <v>"default_value":"America/Los_Angeles",</v>
      </c>
      <c r="R246" t="str">
        <f t="shared" si="35"/>
        <v>"docs_url":"https://looker.com/docs/r/lookml/types/explore_source/timezone?version=7.14&amp;lookml=new",</v>
      </c>
      <c r="S246" t="str">
        <f t="shared" si="36"/>
        <v>"has_allowed_values":True,</v>
      </c>
      <c r="T246" t="str">
        <f t="shared" si="37"/>
        <v>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</v>
      </c>
    </row>
    <row r="247" spans="1:20" ht="13" hidden="1" x14ac:dyDescent="0.15">
      <c r="A247" s="7">
        <v>268</v>
      </c>
      <c r="B247" s="6" t="s">
        <v>92</v>
      </c>
      <c r="C247" s="6" t="s">
        <v>96</v>
      </c>
      <c r="D247" s="4" t="s">
        <v>17</v>
      </c>
      <c r="E247" s="4" t="s">
        <v>595</v>
      </c>
      <c r="F247" s="4">
        <v>3</v>
      </c>
      <c r="H247" s="4" t="s">
        <v>382</v>
      </c>
      <c r="I247" s="4" t="b">
        <v>0</v>
      </c>
      <c r="K247" s="4" t="b">
        <f>IF(COUNTIF($B$2:$B247,B247)&gt;1,TRUE,FALSE)</f>
        <v>1</v>
      </c>
      <c r="L247" t="str">
        <f t="shared" si="30"/>
        <v>p["fields"].update({"join":{"type":"list_unquoted","subtype":"field-ref","indent":3,"default_value":"","docs_url":"https://looker.com/docs/r/lookml/types/join/fields?version=7.14&amp;lookml=new","has_allowed_values":False,"allowed_values":""}})</v>
      </c>
      <c r="M247" t="str">
        <f t="shared" si="31"/>
        <v>{"fields":{"join":{"type":"list_unquoted","subtype":"field-ref","indent":3,"default_value":"","docs_url":"https://looker.com/docs/r/lookml/types/join/fields?version=7.14&amp;lookml=new","has_allowed_values":False,"allowed_values":""}}}</v>
      </c>
      <c r="N247" t="str">
        <f t="shared" si="32"/>
        <v>"type":"list_unquoted",</v>
      </c>
      <c r="O247" t="str">
        <f t="shared" si="33"/>
        <v>"subtype":"field-ref",</v>
      </c>
      <c r="P247" t="str">
        <f t="shared" si="34"/>
        <v>"indent":3,</v>
      </c>
      <c r="Q247" t="str">
        <f t="shared" si="38"/>
        <v>"default_value":"",</v>
      </c>
      <c r="R247" t="str">
        <f t="shared" si="35"/>
        <v>"docs_url":"https://looker.com/docs/r/lookml/types/join/fields?version=7.14&amp;lookml=new",</v>
      </c>
      <c r="S247" t="str">
        <f t="shared" si="36"/>
        <v>"has_allowed_values":False,</v>
      </c>
      <c r="T247" t="str">
        <f t="shared" si="37"/>
        <v>"allowed_values":""</v>
      </c>
    </row>
    <row r="248" spans="1:20" ht="13" hidden="1" x14ac:dyDescent="0.15">
      <c r="A248" s="7">
        <v>269</v>
      </c>
      <c r="B248" s="6" t="s">
        <v>103</v>
      </c>
      <c r="C248" s="6" t="s">
        <v>96</v>
      </c>
      <c r="D248" s="4" t="s">
        <v>17</v>
      </c>
      <c r="E248" s="1" t="s">
        <v>598</v>
      </c>
      <c r="F248" s="4">
        <v>3</v>
      </c>
      <c r="H248" s="4" t="s">
        <v>383</v>
      </c>
      <c r="I248" s="4" t="b">
        <v>0</v>
      </c>
      <c r="K248" s="4" t="b">
        <f>IF(COUNTIF($B$2:$B248,B248)&gt;1,TRUE,FALSE)</f>
        <v>0</v>
      </c>
      <c r="L248" t="str">
        <f t="shared" si="30"/>
        <v>p.update({"foreign_key":{"join":{"type":"string_unquoted","subtype":"field-ref","indent":3,"default_value":"","docs_url":"https://looker.com/docs/r/lookml/types/join/foreign_key?version=7.14&amp;lookml=new","has_allowed_values":False,"allowed_values":""}}})</v>
      </c>
      <c r="M248" t="str">
        <f t="shared" si="31"/>
        <v>{"foreign_key":{"join":{"type":"string_unquoted","subtype":"field-ref","indent":3,"default_value":"","docs_url":"https://looker.com/docs/r/lookml/types/join/foreign_key?version=7.14&amp;lookml=new","has_allowed_values":False,"allowed_values":""}}}</v>
      </c>
      <c r="N248" t="str">
        <f t="shared" si="32"/>
        <v>"type":"string_unquoted",</v>
      </c>
      <c r="O248" t="str">
        <f t="shared" si="33"/>
        <v>"subtype":"field-ref",</v>
      </c>
      <c r="P248" t="str">
        <f t="shared" si="34"/>
        <v>"indent":3,</v>
      </c>
      <c r="Q248" t="str">
        <f t="shared" si="38"/>
        <v>"default_value":"",</v>
      </c>
      <c r="R248" t="str">
        <f t="shared" si="35"/>
        <v>"docs_url":"https://looker.com/docs/r/lookml/types/join/foreign_key?version=7.14&amp;lookml=new",</v>
      </c>
      <c r="S248" t="str">
        <f t="shared" si="36"/>
        <v>"has_allowed_values":False,</v>
      </c>
      <c r="T248" t="str">
        <f t="shared" si="37"/>
        <v>"allowed_values":""</v>
      </c>
    </row>
    <row r="249" spans="1:20" ht="13" hidden="1" x14ac:dyDescent="0.15">
      <c r="A249" s="7">
        <v>270</v>
      </c>
      <c r="B249" s="6" t="s">
        <v>94</v>
      </c>
      <c r="C249" s="6" t="s">
        <v>96</v>
      </c>
      <c r="D249" s="4" t="s">
        <v>101</v>
      </c>
      <c r="E249" s="1" t="s">
        <v>598</v>
      </c>
      <c r="F249" s="4">
        <v>3</v>
      </c>
      <c r="H249" s="4" t="s">
        <v>384</v>
      </c>
      <c r="I249" s="4" t="b">
        <v>0</v>
      </c>
      <c r="K249" s="4" t="b">
        <f>IF(COUNTIF($B$2:$B249,B249)&gt;1,TRUE,FALSE)</f>
        <v>1</v>
      </c>
      <c r="L249" t="str">
        <f t="shared" si="30"/>
        <v>p["from"].update({"join":{"type":"string_unquoted","subtype":"view-ref","indent":3,"default_value":"","docs_url":"https://looker.com/docs/r/lookml/types/join/from?version=7.14&amp;lookml=new","has_allowed_values":False,"allowed_values":""}})</v>
      </c>
      <c r="M249" t="str">
        <f t="shared" si="31"/>
        <v>{"from":{"join":{"type":"string_unquoted","subtype":"view-ref","indent":3,"default_value":"","docs_url":"https://looker.com/docs/r/lookml/types/join/from?version=7.14&amp;lookml=new","has_allowed_values":False,"allowed_values":""}}}</v>
      </c>
      <c r="N249" t="str">
        <f t="shared" si="32"/>
        <v>"type":"string_unquoted",</v>
      </c>
      <c r="O249" t="str">
        <f t="shared" si="33"/>
        <v>"subtype":"view-ref",</v>
      </c>
      <c r="P249" t="str">
        <f t="shared" si="34"/>
        <v>"indent":3,</v>
      </c>
      <c r="Q249" t="str">
        <f t="shared" si="38"/>
        <v>"default_value":"",</v>
      </c>
      <c r="R249" t="str">
        <f t="shared" si="35"/>
        <v>"docs_url":"https://looker.com/docs/r/lookml/types/join/from?version=7.14&amp;lookml=new",</v>
      </c>
      <c r="S249" t="str">
        <f t="shared" si="36"/>
        <v>"has_allowed_values":False,</v>
      </c>
      <c r="T249" t="str">
        <f t="shared" si="37"/>
        <v>"allowed_values":""</v>
      </c>
    </row>
    <row r="250" spans="1:20" ht="13" hidden="1" x14ac:dyDescent="0.15">
      <c r="A250" s="7">
        <v>271</v>
      </c>
      <c r="B250" s="6" t="s">
        <v>104</v>
      </c>
      <c r="C250" s="6" t="s">
        <v>96</v>
      </c>
      <c r="D250" s="4" t="s">
        <v>568</v>
      </c>
      <c r="E250" s="4" t="s">
        <v>568</v>
      </c>
      <c r="F250" s="4">
        <v>3</v>
      </c>
      <c r="G250" s="4" t="s">
        <v>603</v>
      </c>
      <c r="H250" s="4" t="s">
        <v>385</v>
      </c>
      <c r="I250" s="4" t="b">
        <v>0</v>
      </c>
      <c r="K250" s="4" t="b">
        <f>IF(COUNTIF($B$2:$B250,B250)&gt;1,TRUE,FALSE)</f>
        <v>0</v>
      </c>
      <c r="L250" t="str">
        <f t="shared" si="30"/>
        <v>p.update({"outer_only":{"join":{"type":"yesno","subtype":"yesno","indent":3,"default_value":"no","docs_url":"https://looker.com/docs/r/lookml/types/join/outer_only?version=7.14&amp;lookml=new","has_allowed_values":False,"allowed_values":""}}})</v>
      </c>
      <c r="M250" t="str">
        <f t="shared" si="31"/>
        <v>{"outer_only":{"join":{"type":"yesno","subtype":"yesno","indent":3,"default_value":"no","docs_url":"https://looker.com/docs/r/lookml/types/join/outer_only?version=7.14&amp;lookml=new","has_allowed_values":False,"allowed_values":""}}}</v>
      </c>
      <c r="N250" t="str">
        <f t="shared" si="32"/>
        <v>"type":"yesno",</v>
      </c>
      <c r="O250" t="str">
        <f t="shared" si="33"/>
        <v>"subtype":"yesno",</v>
      </c>
      <c r="P250" t="str">
        <f t="shared" si="34"/>
        <v>"indent":3,</v>
      </c>
      <c r="Q250" t="str">
        <f t="shared" si="38"/>
        <v>"default_value":"no",</v>
      </c>
      <c r="R250" t="str">
        <f t="shared" si="35"/>
        <v>"docs_url":"https://looker.com/docs/r/lookml/types/join/outer_only?version=7.14&amp;lookml=new",</v>
      </c>
      <c r="S250" t="str">
        <f t="shared" si="36"/>
        <v>"has_allowed_values":False,</v>
      </c>
      <c r="T250" t="str">
        <f t="shared" si="37"/>
        <v>"allowed_values":""</v>
      </c>
    </row>
    <row r="251" spans="1:20" ht="13" hidden="1" x14ac:dyDescent="0.15">
      <c r="A251" s="7">
        <v>272</v>
      </c>
      <c r="B251" s="6" t="s">
        <v>105</v>
      </c>
      <c r="C251" s="6" t="s">
        <v>96</v>
      </c>
      <c r="D251" s="4" t="s">
        <v>550</v>
      </c>
      <c r="E251" s="4" t="s">
        <v>550</v>
      </c>
      <c r="F251" s="4">
        <v>3</v>
      </c>
      <c r="G251" s="4" t="s">
        <v>601</v>
      </c>
      <c r="H251" s="4" t="s">
        <v>386</v>
      </c>
      <c r="I251" s="4" t="b">
        <v>1</v>
      </c>
      <c r="J251" s="4" t="s">
        <v>602</v>
      </c>
      <c r="K251" s="4" t="b">
        <f>IF(COUNTIF($B$2:$B251,B251)&gt;1,TRUE,FALSE)</f>
        <v>0</v>
      </c>
      <c r="L251" t="str">
        <f t="shared" si="30"/>
        <v>p.update({"relationship":{"join":{"type":"options","subtype":"options","indent":3,"default_value":"many_to_one","docs_url":"https://looker.com/docs/r/lookml/types/join/relationship?version=7.14&amp;lookml=new","has_allowed_values":True,"allowed_values":["many_to_one", "many_to_many", "one_to_many", "one_to_one"]}}})</v>
      </c>
      <c r="M251" t="str">
        <f t="shared" si="31"/>
        <v>{"relationship":{"join":{"type":"options","subtype":"options","indent":3,"default_value":"many_to_one","docs_url":"https://looker.com/docs/r/lookml/types/join/relationship?version=7.14&amp;lookml=new","has_allowed_values":True,"allowed_values":["many_to_one", "many_to_many", "one_to_many", "one_to_one"]}}}</v>
      </c>
      <c r="N251" t="str">
        <f t="shared" si="32"/>
        <v>"type":"options",</v>
      </c>
      <c r="O251" t="str">
        <f t="shared" si="33"/>
        <v>"subtype":"options",</v>
      </c>
      <c r="P251" t="str">
        <f t="shared" si="34"/>
        <v>"indent":3,</v>
      </c>
      <c r="Q251" t="str">
        <f t="shared" si="38"/>
        <v>"default_value":"many_to_one",</v>
      </c>
      <c r="R251" t="str">
        <f t="shared" si="35"/>
        <v>"docs_url":"https://looker.com/docs/r/lookml/types/join/relationship?version=7.14&amp;lookml=new",</v>
      </c>
      <c r="S251" t="str">
        <f t="shared" si="36"/>
        <v>"has_allowed_values":True,</v>
      </c>
      <c r="T251" t="str">
        <f t="shared" si="37"/>
        <v>"allowed_values":["many_to_one", "many_to_many", "one_to_many", "one_to_one"]</v>
      </c>
    </row>
    <row r="252" spans="1:20" ht="13" hidden="1" x14ac:dyDescent="0.15">
      <c r="A252" s="7">
        <v>273</v>
      </c>
      <c r="B252" s="6" t="s">
        <v>31</v>
      </c>
      <c r="C252" s="6" t="s">
        <v>96</v>
      </c>
      <c r="D252" s="4" t="s">
        <v>610</v>
      </c>
      <c r="E252" s="4" t="s">
        <v>595</v>
      </c>
      <c r="F252" s="4">
        <v>3</v>
      </c>
      <c r="H252" s="4" t="s">
        <v>387</v>
      </c>
      <c r="I252" s="4" t="b">
        <v>0</v>
      </c>
      <c r="K252" s="4" t="b">
        <f>IF(COUNTIF($B$2:$B252,B252)&gt;1,TRUE,FALSE)</f>
        <v>1</v>
      </c>
      <c r="L252" t="str">
        <f t="shared" si="30"/>
        <v>p["required_access_grants"].update({"join":{"type":"list_unquoted","subtype":"access-grant-ref","indent":3,"default_value":"","docs_url":"https://looker.com/docs/r/lookml/types/join/required_access_grants?version=7.14&amp;lookml=new","has_allowed_values":False,"allowed_values":""}})</v>
      </c>
      <c r="M252" t="str">
        <f t="shared" si="31"/>
        <v>{"required_access_grants":{"join":{"type":"list_unquoted","subtype":"access-grant-ref","indent":3,"default_value":"","docs_url":"https://looker.com/docs/r/lookml/types/join/required_access_grants?version=7.14&amp;lookml=new","has_allowed_values":False,"allowed_values":""}}}</v>
      </c>
      <c r="N252" t="str">
        <f t="shared" si="32"/>
        <v>"type":"list_unquoted",</v>
      </c>
      <c r="O252" t="str">
        <f t="shared" si="33"/>
        <v>"subtype":"access-grant-ref",</v>
      </c>
      <c r="P252" t="str">
        <f t="shared" si="34"/>
        <v>"indent":3,</v>
      </c>
      <c r="Q252" t="str">
        <f t="shared" si="38"/>
        <v>"default_value":"",</v>
      </c>
      <c r="R252" t="str">
        <f t="shared" si="35"/>
        <v>"docs_url":"https://looker.com/docs/r/lookml/types/join/required_access_grants?version=7.14&amp;lookml=new",</v>
      </c>
      <c r="S252" t="str">
        <f t="shared" si="36"/>
        <v>"has_allowed_values":False,</v>
      </c>
      <c r="T252" t="str">
        <f t="shared" si="37"/>
        <v>"allowed_values":""</v>
      </c>
    </row>
    <row r="253" spans="1:20" ht="13" hidden="1" x14ac:dyDescent="0.15">
      <c r="A253" s="7">
        <v>274</v>
      </c>
      <c r="B253" s="6" t="s">
        <v>106</v>
      </c>
      <c r="C253" s="6" t="s">
        <v>96</v>
      </c>
      <c r="D253" s="4" t="s">
        <v>101</v>
      </c>
      <c r="E253" s="4" t="s">
        <v>595</v>
      </c>
      <c r="F253" s="4">
        <v>3</v>
      </c>
      <c r="H253" s="4" t="s">
        <v>388</v>
      </c>
      <c r="I253" s="4" t="b">
        <v>0</v>
      </c>
      <c r="K253" s="4" t="b">
        <f>IF(COUNTIF($B$2:$B253,B253)&gt;1,TRUE,FALSE)</f>
        <v>0</v>
      </c>
      <c r="L253" t="str">
        <f t="shared" si="30"/>
        <v>p.update({"required_joins":{"join":{"type":"list_unquoted","subtype":"view-ref","indent":3,"default_value":"","docs_url":"https://looker.com/docs/r/lookml/types/join/required_joins?version=7.14&amp;lookml=new","has_allowed_values":False,"allowed_values":""}}})</v>
      </c>
      <c r="M253" t="str">
        <f t="shared" si="31"/>
        <v>{"required_joins":{"join":{"type":"list_unquoted","subtype":"view-ref","indent":3,"default_value":"","docs_url":"https://looker.com/docs/r/lookml/types/join/required_joins?version=7.14&amp;lookml=new","has_allowed_values":False,"allowed_values":""}}}</v>
      </c>
      <c r="N253" t="str">
        <f t="shared" si="32"/>
        <v>"type":"list_unquoted",</v>
      </c>
      <c r="O253" t="str">
        <f t="shared" si="33"/>
        <v>"subtype":"view-ref",</v>
      </c>
      <c r="P253" t="str">
        <f t="shared" si="34"/>
        <v>"indent":3,</v>
      </c>
      <c r="Q253" t="str">
        <f t="shared" si="38"/>
        <v>"default_value":"",</v>
      </c>
      <c r="R253" t="str">
        <f t="shared" si="35"/>
        <v>"docs_url":"https://looker.com/docs/r/lookml/types/join/required_joins?version=7.14&amp;lookml=new",</v>
      </c>
      <c r="S253" t="str">
        <f t="shared" si="36"/>
        <v>"has_allowed_values":False,</v>
      </c>
      <c r="T253" t="str">
        <f t="shared" si="37"/>
        <v>"allowed_values":""</v>
      </c>
    </row>
    <row r="254" spans="1:20" ht="13" hidden="1" x14ac:dyDescent="0.15">
      <c r="A254" s="7">
        <v>275</v>
      </c>
      <c r="B254" s="6" t="s">
        <v>34</v>
      </c>
      <c r="C254" s="6" t="s">
        <v>96</v>
      </c>
      <c r="D254" s="4" t="s">
        <v>611</v>
      </c>
      <c r="E254" s="4" t="s">
        <v>34</v>
      </c>
      <c r="F254" s="4">
        <v>3</v>
      </c>
      <c r="G254" s="4" t="s">
        <v>591</v>
      </c>
      <c r="H254" s="4" t="s">
        <v>389</v>
      </c>
      <c r="I254" s="4" t="b">
        <v>0</v>
      </c>
      <c r="K254" s="4" t="b">
        <f>IF(COUNTIF($B$2:$B254,B254)&gt;1,TRUE,FALSE)</f>
        <v>1</v>
      </c>
      <c r="L254" t="str">
        <f t="shared" si="30"/>
        <v>p["sql"].update({"join":{"type":"sql","subtype":"sql-block ","indent":3,"default_value":"","docs_url":"https://looker.com/docs/r/lookml/types/join/sql?version=7.14&amp;lookml=new","has_allowed_values":False,"allowed_values":""}})</v>
      </c>
      <c r="M254" t="str">
        <f t="shared" si="31"/>
        <v>{"sql":{"join":{"type":"sql","subtype":"sql-block ","indent":3,"default_value":"","docs_url":"https://looker.com/docs/r/lookml/types/join/sql?version=7.14&amp;lookml=new","has_allowed_values":False,"allowed_values":""}}}</v>
      </c>
      <c r="N254" t="str">
        <f t="shared" si="32"/>
        <v>"type":"sql",</v>
      </c>
      <c r="O254" t="str">
        <f t="shared" si="33"/>
        <v>"subtype":"sql-block ",</v>
      </c>
      <c r="P254" t="str">
        <f t="shared" si="34"/>
        <v>"indent":3,</v>
      </c>
      <c r="Q254" t="str">
        <f t="shared" si="38"/>
        <v>"default_value":"",</v>
      </c>
      <c r="R254" t="str">
        <f t="shared" si="35"/>
        <v>"docs_url":"https://looker.com/docs/r/lookml/types/join/sql?version=7.14&amp;lookml=new",</v>
      </c>
      <c r="S254" t="str">
        <f t="shared" si="36"/>
        <v>"has_allowed_values":False,</v>
      </c>
      <c r="T254" t="str">
        <f t="shared" si="37"/>
        <v>"allowed_values":""</v>
      </c>
    </row>
    <row r="255" spans="1:20" ht="13" hidden="1" x14ac:dyDescent="0.15">
      <c r="A255" s="7">
        <v>276</v>
      </c>
      <c r="B255" s="6" t="s">
        <v>107</v>
      </c>
      <c r="C255" s="6" t="s">
        <v>96</v>
      </c>
      <c r="D255" s="4" t="s">
        <v>611</v>
      </c>
      <c r="E255" s="4" t="s">
        <v>34</v>
      </c>
      <c r="F255" s="4">
        <v>3</v>
      </c>
      <c r="G255" s="4" t="s">
        <v>591</v>
      </c>
      <c r="H255" s="4" t="s">
        <v>390</v>
      </c>
      <c r="I255" s="4" t="b">
        <v>0</v>
      </c>
      <c r="K255" s="4" t="b">
        <f>IF(COUNTIF($B$2:$B255,B255)&gt;1,TRUE,FALSE)</f>
        <v>0</v>
      </c>
      <c r="L255" t="str">
        <f t="shared" si="30"/>
        <v>p.update({"sql_foreign_key":{"join":{"type":"sql","subtype":"sql-block ","indent":3,"default_value":"","docs_url":"https://looker.com/docs/r/lookml/types/join/sql_foreign_key?version=7.14&amp;lookml=new","has_allowed_values":False,"allowed_values":""}}})</v>
      </c>
      <c r="M255" t="str">
        <f t="shared" si="31"/>
        <v>{"sql_foreign_key":{"join":{"type":"sql","subtype":"sql-block ","indent":3,"default_value":"","docs_url":"https://looker.com/docs/r/lookml/types/join/sql_foreign_key?version=7.14&amp;lookml=new","has_allowed_values":False,"allowed_values":""}}}</v>
      </c>
      <c r="N255" t="str">
        <f t="shared" si="32"/>
        <v>"type":"sql",</v>
      </c>
      <c r="O255" t="str">
        <f t="shared" si="33"/>
        <v>"subtype":"sql-block ",</v>
      </c>
      <c r="P255" t="str">
        <f t="shared" si="34"/>
        <v>"indent":3,</v>
      </c>
      <c r="Q255" t="str">
        <f t="shared" si="38"/>
        <v>"default_value":"",</v>
      </c>
      <c r="R255" t="str">
        <f t="shared" si="35"/>
        <v>"docs_url":"https://looker.com/docs/r/lookml/types/join/sql_foreign_key?version=7.14&amp;lookml=new",</v>
      </c>
      <c r="S255" t="str">
        <f t="shared" si="36"/>
        <v>"has_allowed_values":False,</v>
      </c>
      <c r="T255" t="str">
        <f t="shared" si="37"/>
        <v>"allowed_values":""</v>
      </c>
    </row>
    <row r="256" spans="1:20" ht="13" hidden="1" x14ac:dyDescent="0.15">
      <c r="A256" s="7">
        <v>277</v>
      </c>
      <c r="B256" s="6" t="s">
        <v>108</v>
      </c>
      <c r="C256" s="6" t="s">
        <v>96</v>
      </c>
      <c r="D256" s="4" t="s">
        <v>611</v>
      </c>
      <c r="E256" s="4" t="s">
        <v>34</v>
      </c>
      <c r="F256" s="4">
        <v>3</v>
      </c>
      <c r="G256" s="4" t="s">
        <v>591</v>
      </c>
      <c r="H256" s="4" t="s">
        <v>391</v>
      </c>
      <c r="I256" s="4" t="b">
        <v>0</v>
      </c>
      <c r="K256" s="4" t="b">
        <f>IF(COUNTIF($B$2:$B256,B256)&gt;1,TRUE,FALSE)</f>
        <v>0</v>
      </c>
      <c r="L256" t="str">
        <f t="shared" si="30"/>
        <v>p.update({"sql_on":{"join":{"type":"sql","subtype":"sql-block ","indent":3,"default_value":"","docs_url":"https://looker.com/docs/r/lookml/types/join/sql_on?version=7.14&amp;lookml=new","has_allowed_values":False,"allowed_values":""}}})</v>
      </c>
      <c r="M256" t="str">
        <f t="shared" si="31"/>
        <v>{"sql_on":{"join":{"type":"sql","subtype":"sql-block ","indent":3,"default_value":"","docs_url":"https://looker.com/docs/r/lookml/types/join/sql_on?version=7.14&amp;lookml=new","has_allowed_values":False,"allowed_values":""}}}</v>
      </c>
      <c r="N256" t="str">
        <f t="shared" si="32"/>
        <v>"type":"sql",</v>
      </c>
      <c r="O256" t="str">
        <f t="shared" si="33"/>
        <v>"subtype":"sql-block ",</v>
      </c>
      <c r="P256" t="str">
        <f t="shared" si="34"/>
        <v>"indent":3,</v>
      </c>
      <c r="Q256" t="str">
        <f t="shared" si="38"/>
        <v>"default_value":"",</v>
      </c>
      <c r="R256" t="str">
        <f t="shared" si="35"/>
        <v>"docs_url":"https://looker.com/docs/r/lookml/types/join/sql_on?version=7.14&amp;lookml=new",</v>
      </c>
      <c r="S256" t="str">
        <f t="shared" si="36"/>
        <v>"has_allowed_values":False,</v>
      </c>
      <c r="T256" t="str">
        <f t="shared" si="37"/>
        <v>"allowed_values":""</v>
      </c>
    </row>
    <row r="257" spans="1:20" ht="13" hidden="1" x14ac:dyDescent="0.15">
      <c r="A257" s="7">
        <v>278</v>
      </c>
      <c r="B257" s="6" t="s">
        <v>100</v>
      </c>
      <c r="C257" s="6" t="s">
        <v>96</v>
      </c>
      <c r="D257" s="4" t="s">
        <v>611</v>
      </c>
      <c r="E257" s="4" t="s">
        <v>34</v>
      </c>
      <c r="F257" s="4">
        <v>3</v>
      </c>
      <c r="G257" s="4" t="s">
        <v>591</v>
      </c>
      <c r="H257" s="4" t="s">
        <v>392</v>
      </c>
      <c r="I257" s="4" t="b">
        <v>0</v>
      </c>
      <c r="K257" s="4" t="b">
        <f>IF(COUNTIF($B$2:$B257,B257)&gt;1,TRUE,FALSE)</f>
        <v>1</v>
      </c>
      <c r="L257" t="str">
        <f t="shared" si="30"/>
        <v>p["sql_table_name"].update({"join":{"type":"sql","subtype":"sql-block ","indent":3,"default_value":"","docs_url":"https://looker.com/docs/r/lookml/types/join/sql_table_name?version=7.14&amp;lookml=new","has_allowed_values":False,"allowed_values":""}})</v>
      </c>
      <c r="M257" t="str">
        <f t="shared" si="31"/>
        <v>{"sql_table_name":{"join":{"type":"sql","subtype":"sql-block ","indent":3,"default_value":"","docs_url":"https://looker.com/docs/r/lookml/types/join/sql_table_name?version=7.14&amp;lookml=new","has_allowed_values":False,"allowed_values":""}}}</v>
      </c>
      <c r="N257" t="str">
        <f t="shared" si="32"/>
        <v>"type":"sql",</v>
      </c>
      <c r="O257" t="str">
        <f t="shared" si="33"/>
        <v>"subtype":"sql-block ",</v>
      </c>
      <c r="P257" t="str">
        <f t="shared" si="34"/>
        <v>"indent":3,</v>
      </c>
      <c r="Q257" t="str">
        <f t="shared" si="38"/>
        <v>"default_value":"",</v>
      </c>
      <c r="R257" t="str">
        <f t="shared" si="35"/>
        <v>"docs_url":"https://looker.com/docs/r/lookml/types/join/sql_table_name?version=7.14&amp;lookml=new",</v>
      </c>
      <c r="S257" t="str">
        <f t="shared" si="36"/>
        <v>"has_allowed_values":False,</v>
      </c>
      <c r="T257" t="str">
        <f t="shared" si="37"/>
        <v>"allowed_values":""</v>
      </c>
    </row>
    <row r="258" spans="1:20" ht="13" hidden="1" x14ac:dyDescent="0.15">
      <c r="A258" s="7">
        <v>279</v>
      </c>
      <c r="B258" s="6" t="s">
        <v>109</v>
      </c>
      <c r="C258" s="6" t="s">
        <v>96</v>
      </c>
      <c r="D258" s="4" t="s">
        <v>611</v>
      </c>
      <c r="E258" s="4" t="s">
        <v>34</v>
      </c>
      <c r="F258" s="4">
        <v>3</v>
      </c>
      <c r="G258" s="4" t="s">
        <v>591</v>
      </c>
      <c r="H258" s="4" t="s">
        <v>393</v>
      </c>
      <c r="I258" s="4" t="b">
        <v>0</v>
      </c>
      <c r="K258" s="4" t="b">
        <f>IF(COUNTIF($B$2:$B258,B258)&gt;1,TRUE,FALSE)</f>
        <v>0</v>
      </c>
      <c r="L258" t="str">
        <f t="shared" ref="L258:L321" si="39">IF(
K258,"p["""&amp;B258&amp;"""].update({"&amp;""""&amp;C258&amp;""":{"&amp;_xlfn.CONCAT(N258:T258)&amp;"}})","p.update("&amp;M258&amp;")"
)</f>
        <v>p.update({"sql_where":{"join":{"type":"sql","subtype":"sql-block ","indent":3,"default_value":"","docs_url":"https://looker.com/docs/r/lookml/types/join/sql_where?version=7.14&amp;lookml=new","has_allowed_values":False,"allowed_values":""}}})</v>
      </c>
      <c r="M258" t="str">
        <f t="shared" ref="M258:M321" si="40">"{"&amp;""""&amp;B258
&amp;""":{"&amp;""""&amp;C258&amp;""":{"&amp;_xlfn.CONCAT(N258:T258)&amp;"}}}"</f>
        <v>{"sql_where":{"join":{"type":"sql","subtype":"sql-block ","indent":3,"default_value":"","docs_url":"https://looker.com/docs/r/lookml/types/join/sql_where?version=7.14&amp;lookml=new","has_allowed_values":False,"allowed_values":""}}}</v>
      </c>
      <c r="N258" t="str">
        <f t="shared" si="32"/>
        <v>"type":"sql",</v>
      </c>
      <c r="O258" t="str">
        <f t="shared" si="33"/>
        <v>"subtype":"sql-block ",</v>
      </c>
      <c r="P258" t="str">
        <f t="shared" si="34"/>
        <v>"indent":3,</v>
      </c>
      <c r="Q258" t="str">
        <f t="shared" si="38"/>
        <v>"default_value":"",</v>
      </c>
      <c r="R258" t="str">
        <f t="shared" si="35"/>
        <v>"docs_url":"https://looker.com/docs/r/lookml/types/join/sql_where?version=7.14&amp;lookml=new",</v>
      </c>
      <c r="S258" t="str">
        <f t="shared" si="36"/>
        <v>"has_allowed_values":False,</v>
      </c>
      <c r="T258" t="str">
        <f t="shared" si="37"/>
        <v>"allowed_values":""</v>
      </c>
    </row>
    <row r="259" spans="1:20" ht="13" hidden="1" x14ac:dyDescent="0.15">
      <c r="A259" s="7">
        <v>280</v>
      </c>
      <c r="B259" s="6" t="s">
        <v>49</v>
      </c>
      <c r="C259" s="6" t="s">
        <v>96</v>
      </c>
      <c r="D259" s="4" t="s">
        <v>550</v>
      </c>
      <c r="E259" s="4" t="s">
        <v>550</v>
      </c>
      <c r="F259" s="4">
        <v>3</v>
      </c>
      <c r="G259" s="4" t="s">
        <v>558</v>
      </c>
      <c r="H259" s="4" t="s">
        <v>394</v>
      </c>
      <c r="I259" s="4" t="b">
        <v>1</v>
      </c>
      <c r="J259" s="4" t="s">
        <v>559</v>
      </c>
      <c r="K259" s="4" t="b">
        <f>IF(COUNTIF($B$2:$B259,B259)&gt;1,TRUE,FALSE)</f>
        <v>1</v>
      </c>
      <c r="L259" t="str">
        <f t="shared" si="39"/>
        <v>p["type"].update({"join":{"type":"options","subtype":"options","indent":3,"default_value":"left_outer","docs_url":"https://looker.com/docs/r/lookml/types/join/type?version=7.14&amp;lookml=new","has_allowed_values":True,"allowed_values":["cross", "full_outer", "inner", "left_outer"]}})</v>
      </c>
      <c r="M259" t="str">
        <f t="shared" si="40"/>
        <v>{"type":{"join":{"type":"options","subtype":"options","indent":3,"default_value":"left_outer","docs_url":"https://looker.com/docs/r/lookml/types/join/type?version=7.14&amp;lookml=new","has_allowed_values":True,"allowed_values":["cross", "full_outer", "inner", "left_outer"]}}}</v>
      </c>
      <c r="N259" t="str">
        <f t="shared" ref="N259:N322" si="41">"""type"":"&amp;""""&amp;E259&amp;""","</f>
        <v>"type":"options",</v>
      </c>
      <c r="O259" t="str">
        <f t="shared" ref="O259:O322" si="42">"""subtype"":"&amp;""""&amp;D259&amp;""","</f>
        <v>"subtype":"options",</v>
      </c>
      <c r="P259" t="str">
        <f t="shared" ref="P259:P322" si="43">"""indent"":"&amp;F259&amp;","</f>
        <v>"indent":3,</v>
      </c>
      <c r="Q259" t="str">
        <f t="shared" si="38"/>
        <v>"default_value":"left_outer",</v>
      </c>
      <c r="R259" t="str">
        <f t="shared" ref="R259:R322" si="44">"""docs_url"":"&amp;""""&amp;H259&amp;""","</f>
        <v>"docs_url":"https://looker.com/docs/r/lookml/types/join/type?version=7.14&amp;lookml=new",</v>
      </c>
      <c r="S259" t="str">
        <f t="shared" ref="S259:S322" si="45">"""has_allowed_values"":"&amp;IF(I259,"True,","False"&amp;",")</f>
        <v>"has_allowed_values":True,</v>
      </c>
      <c r="T259" t="str">
        <f t="shared" ref="T259:T322" si="46">"""allowed_values"":"&amp;IF(J259&lt;&gt;"",J259,"""""")</f>
        <v>"allowed_values":["cross", "full_outer", "inner", "left_outer"]</v>
      </c>
    </row>
    <row r="260" spans="1:20" ht="13" hidden="1" x14ac:dyDescent="0.15">
      <c r="A260" s="7">
        <v>281</v>
      </c>
      <c r="B260" s="6" t="s">
        <v>54</v>
      </c>
      <c r="C260" s="6" t="s">
        <v>96</v>
      </c>
      <c r="D260" s="4" t="s">
        <v>29</v>
      </c>
      <c r="E260" s="4" t="s">
        <v>0</v>
      </c>
      <c r="F260" s="4">
        <v>3</v>
      </c>
      <c r="G260" s="4" t="s">
        <v>591</v>
      </c>
      <c r="H260" s="4" t="s">
        <v>395</v>
      </c>
      <c r="I260" s="4" t="b">
        <v>0</v>
      </c>
      <c r="K260" s="4" t="b">
        <f>IF(COUNTIF($B$2:$B260,B260)&gt;1,TRUE,FALSE)</f>
        <v>1</v>
      </c>
      <c r="L260" t="str">
        <f t="shared" si="39"/>
        <v>p["view_label"].update({"join":{"type":"string","subtype":"possibly-localized-string","indent":3,"default_value":"","docs_url":"https://looker.com/docs/r/lookml/types/join/view_label?version=7.14&amp;lookml=new","has_allowed_values":False,"allowed_values":""}})</v>
      </c>
      <c r="M260" t="str">
        <f t="shared" si="40"/>
        <v>{"view_label":{"join":{"type":"string","subtype":"possibly-localized-string","indent":3,"default_value":"","docs_url":"https://looker.com/docs/r/lookml/types/join/view_label?version=7.14&amp;lookml=new","has_allowed_values":False,"allowed_values":""}}}</v>
      </c>
      <c r="N260" t="str">
        <f t="shared" si="41"/>
        <v>"type":"string",</v>
      </c>
      <c r="O260" t="str">
        <f t="shared" si="42"/>
        <v>"subtype":"possibly-localized-string",</v>
      </c>
      <c r="P260" t="str">
        <f t="shared" si="43"/>
        <v>"indent":3,</v>
      </c>
      <c r="Q260" t="str">
        <f t="shared" si="38"/>
        <v>"default_value":"",</v>
      </c>
      <c r="R260" t="str">
        <f t="shared" si="44"/>
        <v>"docs_url":"https://looker.com/docs/r/lookml/types/join/view_label?version=7.14&amp;lookml=new",</v>
      </c>
      <c r="S260" t="str">
        <f t="shared" si="45"/>
        <v>"has_allowed_values":False,</v>
      </c>
      <c r="T260" t="str">
        <f t="shared" si="46"/>
        <v>"allowed_values":""</v>
      </c>
    </row>
    <row r="261" spans="1:20" ht="13" hidden="1" x14ac:dyDescent="0.15">
      <c r="A261" s="7">
        <v>284</v>
      </c>
      <c r="B261" s="6" t="s">
        <v>112</v>
      </c>
      <c r="C261" s="6" t="s">
        <v>84</v>
      </c>
      <c r="D261" s="4" t="s">
        <v>539</v>
      </c>
      <c r="E261" s="4" t="s">
        <v>539</v>
      </c>
      <c r="F261" s="4">
        <v>2</v>
      </c>
      <c r="H261" s="4" t="s">
        <v>396</v>
      </c>
      <c r="I261" s="4" t="b">
        <v>0</v>
      </c>
      <c r="K261" s="4" t="b">
        <f>IF(COUNTIF($B$2:$B261,B261)&gt;1,TRUE,FALSE)</f>
        <v>0</v>
      </c>
      <c r="L261" t="str">
        <f t="shared" si="39"/>
        <v>p.update({"query":{"aggregate_table":{"type":"anonymous_construct","subtype":"anonymous_construct","indent":2,"default_value":"","docs_url":"https://looker.com/docs/r/lookml/types/aggregate_table/query?version=7.14&amp;lookml=new","has_allowed_values":False,"allowed_values":""}}})</v>
      </c>
      <c r="M261" t="str">
        <f t="shared" si="40"/>
        <v>{"query":{"aggregate_table":{"type":"anonymous_construct","subtype":"anonymous_construct","indent":2,"default_value":"","docs_url":"https://looker.com/docs/r/lookml/types/aggregate_table/query?version=7.14&amp;lookml=new","has_allowed_values":False,"allowed_values":""}}}</v>
      </c>
      <c r="N261" t="str">
        <f t="shared" si="41"/>
        <v>"type":"anonymous_construct",</v>
      </c>
      <c r="O261" t="str">
        <f t="shared" si="42"/>
        <v>"subtype":"anonymous_construct",</v>
      </c>
      <c r="P261" t="str">
        <f t="shared" si="43"/>
        <v>"indent":2,</v>
      </c>
      <c r="Q261" t="str">
        <f t="shared" si="38"/>
        <v>"default_value":"",</v>
      </c>
      <c r="R261" t="str">
        <f t="shared" si="44"/>
        <v>"docs_url":"https://looker.com/docs/r/lookml/types/aggregate_table/query?version=7.14&amp;lookml=new",</v>
      </c>
      <c r="S261" t="str">
        <f t="shared" si="45"/>
        <v>"has_allowed_values":False,</v>
      </c>
      <c r="T261" t="str">
        <f t="shared" si="46"/>
        <v>"allowed_values":""</v>
      </c>
    </row>
    <row r="262" spans="1:20" ht="13" hidden="1" x14ac:dyDescent="0.15">
      <c r="A262" s="7">
        <v>285</v>
      </c>
      <c r="B262" s="6" t="s">
        <v>113</v>
      </c>
      <c r="C262" s="6" t="s">
        <v>84</v>
      </c>
      <c r="D262" s="4" t="s">
        <v>539</v>
      </c>
      <c r="E262" s="4" t="s">
        <v>539</v>
      </c>
      <c r="F262" s="4">
        <v>2</v>
      </c>
      <c r="H262" s="4" t="s">
        <v>397</v>
      </c>
      <c r="I262" s="4" t="b">
        <v>0</v>
      </c>
      <c r="K262" s="4" t="b">
        <f>IF(COUNTIF($B$2:$B262,B262)&gt;1,TRUE,FALSE)</f>
        <v>0</v>
      </c>
      <c r="L262" t="str">
        <f t="shared" si="39"/>
        <v>p.update({"materialization":{"aggregate_table":{"type":"anonymous_construct","subtype":"anonymous_construct","indent":2,"default_value":"","docs_url":"https://looker.com/docs/r/lookml/types/aggregate_table/materialization?version=7.14&amp;lookml=new","has_allowed_values":False,"allowed_values":""}}})</v>
      </c>
      <c r="M262" t="str">
        <f t="shared" si="40"/>
        <v>{"materialization":{"aggregate_table":{"type":"anonymous_construct","subtype":"anonymous_construct","indent":2,"default_value":"","docs_url":"https://looker.com/docs/r/lookml/types/aggregate_table/materialization?version=7.14&amp;lookml=new","has_allowed_values":False,"allowed_values":""}}}</v>
      </c>
      <c r="N262" t="str">
        <f t="shared" si="41"/>
        <v>"type":"anonymous_construct",</v>
      </c>
      <c r="O262" t="str">
        <f t="shared" si="42"/>
        <v>"subtype":"anonymous_construct",</v>
      </c>
      <c r="P262" t="str">
        <f t="shared" si="43"/>
        <v>"indent":2,</v>
      </c>
      <c r="Q262" t="str">
        <f t="shared" si="38"/>
        <v>"default_value":"",</v>
      </c>
      <c r="R262" t="str">
        <f t="shared" si="44"/>
        <v>"docs_url":"https://looker.com/docs/r/lookml/types/aggregate_table/materialization?version=7.14&amp;lookml=new",</v>
      </c>
      <c r="S262" t="str">
        <f t="shared" si="45"/>
        <v>"has_allowed_values":False,</v>
      </c>
      <c r="T262" t="str">
        <f t="shared" si="46"/>
        <v>"allowed_values":""</v>
      </c>
    </row>
    <row r="263" spans="1:20" ht="13" x14ac:dyDescent="0.15">
      <c r="A263" s="7">
        <v>288</v>
      </c>
      <c r="B263" s="6" t="s">
        <v>491</v>
      </c>
      <c r="C263" s="6" t="s">
        <v>112</v>
      </c>
      <c r="D263" s="4" t="s">
        <v>17</v>
      </c>
      <c r="E263" s="4" t="s">
        <v>595</v>
      </c>
      <c r="F263" s="4">
        <v>3</v>
      </c>
      <c r="H263" s="4" t="s">
        <v>398</v>
      </c>
      <c r="I263" s="4" t="b">
        <v>0</v>
      </c>
      <c r="K263" s="4" t="b">
        <f>IF(COUNTIF($B$2:$B263,B263)&gt;1,TRUE,FALSE)</f>
        <v>0</v>
      </c>
      <c r="L263" t="str">
        <f t="shared" si="39"/>
        <v>p.update({"dimensions":{"query":{"type":"list_unquoted","subtype":"field-ref","indent":3,"default_value":"","docs_url":"https://looker.com/docs/r/lookml/types/query/dimensions?version=7.14&amp;lookml=new","has_allowed_values":False,"allowed_values":""}}})</v>
      </c>
      <c r="M263" t="str">
        <f t="shared" si="40"/>
        <v>{"dimensions":{"query":{"type":"list_unquoted","subtype":"field-ref","indent":3,"default_value":"","docs_url":"https://looker.com/docs/r/lookml/types/query/dimensions?version=7.14&amp;lookml=new","has_allowed_values":False,"allowed_values":""}}}</v>
      </c>
      <c r="N263" t="str">
        <f t="shared" si="41"/>
        <v>"type":"list_unquoted",</v>
      </c>
      <c r="O263" t="str">
        <f t="shared" si="42"/>
        <v>"subtype":"field-ref",</v>
      </c>
      <c r="P263" t="str">
        <f t="shared" si="43"/>
        <v>"indent":3,</v>
      </c>
      <c r="Q263" t="str">
        <f t="shared" si="38"/>
        <v>"default_value":"",</v>
      </c>
      <c r="R263" t="str">
        <f t="shared" si="44"/>
        <v>"docs_url":"https://looker.com/docs/r/lookml/types/query/dimensions?version=7.14&amp;lookml=new",</v>
      </c>
      <c r="S263" t="str">
        <f t="shared" si="45"/>
        <v>"has_allowed_values":False,</v>
      </c>
      <c r="T263" t="str">
        <f t="shared" si="46"/>
        <v>"allowed_values":""</v>
      </c>
    </row>
    <row r="264" spans="1:20" ht="13" x14ac:dyDescent="0.15">
      <c r="A264" s="7">
        <v>289</v>
      </c>
      <c r="B264" s="6" t="s">
        <v>492</v>
      </c>
      <c r="C264" s="6" t="s">
        <v>112</v>
      </c>
      <c r="D264" s="4" t="s">
        <v>17</v>
      </c>
      <c r="E264" s="4" t="s">
        <v>595</v>
      </c>
      <c r="F264" s="4">
        <v>3</v>
      </c>
      <c r="H264" s="4" t="s">
        <v>399</v>
      </c>
      <c r="I264" s="4" t="b">
        <v>0</v>
      </c>
      <c r="K264" s="4" t="b">
        <f>IF(COUNTIF($B$2:$B264,B264)&gt;1,TRUE,FALSE)</f>
        <v>0</v>
      </c>
      <c r="L264" t="str">
        <f t="shared" si="39"/>
        <v>p.update({"measures":{"query":{"type":"list_unquoted","subtype":"field-ref","indent":3,"default_value":"","docs_url":"https://looker.com/docs/r/lookml/types/query/measures?version=7.14&amp;lookml=new","has_allowed_values":False,"allowed_values":""}}})</v>
      </c>
      <c r="M264" t="str">
        <f t="shared" si="40"/>
        <v>{"measures":{"query":{"type":"list_unquoted","subtype":"field-ref","indent":3,"default_value":"","docs_url":"https://looker.com/docs/r/lookml/types/query/measures?version=7.14&amp;lookml=new","has_allowed_values":False,"allowed_values":""}}}</v>
      </c>
      <c r="N264" t="str">
        <f t="shared" si="41"/>
        <v>"type":"list_unquoted",</v>
      </c>
      <c r="O264" t="str">
        <f t="shared" si="42"/>
        <v>"subtype":"field-ref",</v>
      </c>
      <c r="P264" t="str">
        <f t="shared" si="43"/>
        <v>"indent":3,</v>
      </c>
      <c r="Q264" t="str">
        <f t="shared" si="38"/>
        <v>"default_value":"",</v>
      </c>
      <c r="R264" t="str">
        <f t="shared" si="44"/>
        <v>"docs_url":"https://looker.com/docs/r/lookml/types/query/measures?version=7.14&amp;lookml=new",</v>
      </c>
      <c r="S264" t="str">
        <f t="shared" si="45"/>
        <v>"has_allowed_values":False,</v>
      </c>
      <c r="T264" t="str">
        <f t="shared" si="46"/>
        <v>"allowed_values":""</v>
      </c>
    </row>
    <row r="265" spans="1:20" ht="13" x14ac:dyDescent="0.15">
      <c r="A265" s="7">
        <v>290</v>
      </c>
      <c r="B265" s="6" t="s">
        <v>11</v>
      </c>
      <c r="C265" s="6" t="s">
        <v>112</v>
      </c>
      <c r="D265" s="4" t="s">
        <v>29</v>
      </c>
      <c r="E265" s="4" t="s">
        <v>0</v>
      </c>
      <c r="F265" s="4">
        <v>3</v>
      </c>
      <c r="G265" s="4" t="s">
        <v>591</v>
      </c>
      <c r="H265" s="4" t="s">
        <v>400</v>
      </c>
      <c r="I265" s="4" t="b">
        <v>0</v>
      </c>
      <c r="K265" s="4" t="b">
        <f>IF(COUNTIF($B$2:$B265,B265)&gt;1,TRUE,FALSE)</f>
        <v>1</v>
      </c>
      <c r="L265" t="str">
        <f t="shared" si="39"/>
        <v>p["description"].update({"query":{"type":"string","subtype":"possibly-localized-string","indent":3,"default_value":"","docs_url":"https://looker.com/docs/r/lookml/types/query/description?version=7.14&amp;lookml=new","has_allowed_values":False,"allowed_values":""}})</v>
      </c>
      <c r="M265" t="str">
        <f t="shared" si="40"/>
        <v>{"description":{"query":{"type":"string","subtype":"possibly-localized-string","indent":3,"default_value":"","docs_url":"https://looker.com/docs/r/lookml/types/query/description?version=7.14&amp;lookml=new","has_allowed_values":False,"allowed_values":""}}}</v>
      </c>
      <c r="N265" t="str">
        <f t="shared" si="41"/>
        <v>"type":"string",</v>
      </c>
      <c r="O265" t="str">
        <f t="shared" si="42"/>
        <v>"subtype":"possibly-localized-string",</v>
      </c>
      <c r="P265" t="str">
        <f t="shared" si="43"/>
        <v>"indent":3,</v>
      </c>
      <c r="Q265" t="str">
        <f t="shared" si="38"/>
        <v>"default_value":"",</v>
      </c>
      <c r="R265" t="str">
        <f t="shared" si="44"/>
        <v>"docs_url":"https://looker.com/docs/r/lookml/types/query/description?version=7.14&amp;lookml=new",</v>
      </c>
      <c r="S265" t="str">
        <f t="shared" si="45"/>
        <v>"has_allowed_values":False,</v>
      </c>
      <c r="T265" t="str">
        <f t="shared" si="46"/>
        <v>"allowed_values":""</v>
      </c>
    </row>
    <row r="266" spans="1:20" ht="13" x14ac:dyDescent="0.15">
      <c r="A266" s="7">
        <v>291</v>
      </c>
      <c r="B266" s="6" t="s">
        <v>20</v>
      </c>
      <c r="C266" s="6" t="s">
        <v>112</v>
      </c>
      <c r="D266" s="4" t="s">
        <v>29</v>
      </c>
      <c r="E266" s="4" t="s">
        <v>0</v>
      </c>
      <c r="F266" s="4">
        <v>3</v>
      </c>
      <c r="G266" s="4" t="s">
        <v>591</v>
      </c>
      <c r="H266" s="4" t="s">
        <v>401</v>
      </c>
      <c r="I266" s="4" t="b">
        <v>0</v>
      </c>
      <c r="K266" s="4" t="b">
        <f>IF(COUNTIF($B$2:$B266,B266)&gt;1,TRUE,FALSE)</f>
        <v>1</v>
      </c>
      <c r="L266" t="str">
        <f t="shared" si="39"/>
        <v>p["group_label"].update({"query":{"type":"string","subtype":"possibly-localized-string","indent":3,"default_value":"","docs_url":"https://looker.com/docs/r/lookml/types/query/group_label?version=7.14&amp;lookml=new","has_allowed_values":False,"allowed_values":""}})</v>
      </c>
      <c r="M266" t="str">
        <f t="shared" si="40"/>
        <v>{"group_label":{"query":{"type":"string","subtype":"possibly-localized-string","indent":3,"default_value":"","docs_url":"https://looker.com/docs/r/lookml/types/query/group_label?version=7.14&amp;lookml=new","has_allowed_values":False,"allowed_values":""}}}</v>
      </c>
      <c r="N266" t="str">
        <f t="shared" si="41"/>
        <v>"type":"string",</v>
      </c>
      <c r="O266" t="str">
        <f t="shared" si="42"/>
        <v>"subtype":"possibly-localized-string",</v>
      </c>
      <c r="P266" t="str">
        <f t="shared" si="43"/>
        <v>"indent":3,</v>
      </c>
      <c r="Q266" t="str">
        <f t="shared" si="38"/>
        <v>"default_value":"",</v>
      </c>
      <c r="R266" t="str">
        <f t="shared" si="44"/>
        <v>"docs_url":"https://looker.com/docs/r/lookml/types/query/group_label?version=7.14&amp;lookml=new",</v>
      </c>
      <c r="S266" t="str">
        <f t="shared" si="45"/>
        <v>"has_allowed_values":False,</v>
      </c>
      <c r="T266" t="str">
        <f t="shared" si="46"/>
        <v>"allowed_values":""</v>
      </c>
    </row>
    <row r="267" spans="1:20" ht="13" x14ac:dyDescent="0.15">
      <c r="A267" s="7">
        <v>292</v>
      </c>
      <c r="B267" s="6" t="s">
        <v>59</v>
      </c>
      <c r="C267" s="6" t="s">
        <v>112</v>
      </c>
      <c r="D267" s="4" t="s">
        <v>95</v>
      </c>
      <c r="E267" s="4" t="s">
        <v>59</v>
      </c>
      <c r="F267" s="4">
        <v>3</v>
      </c>
      <c r="H267" s="4" t="s">
        <v>402</v>
      </c>
      <c r="I267" s="4" t="b">
        <v>0</v>
      </c>
      <c r="K267" s="4" t="b">
        <f>IF(COUNTIF($B$2:$B267,B267)&gt;1,TRUE,FALSE)</f>
        <v>1</v>
      </c>
      <c r="L267" t="str">
        <f t="shared" si="39"/>
        <v>p["filters"].update({"query":{"type":"filters","subtype":"identifier","indent":3,"default_value":"","docs_url":"https://looker.com/docs/r/lookml/types/query/filters?version=7.14&amp;lookml=new","has_allowed_values":False,"allowed_values":""}})</v>
      </c>
      <c r="M267" t="str">
        <f t="shared" si="40"/>
        <v>{"filters":{"query":{"type":"filters","subtype":"identifier","indent":3,"default_value":"","docs_url":"https://looker.com/docs/r/lookml/types/query/filters?version=7.14&amp;lookml=new","has_allowed_values":False,"allowed_values":""}}}</v>
      </c>
      <c r="N267" t="str">
        <f t="shared" si="41"/>
        <v>"type":"filters",</v>
      </c>
      <c r="O267" t="str">
        <f t="shared" si="42"/>
        <v>"subtype":"identifier",</v>
      </c>
      <c r="P267" t="str">
        <f t="shared" si="43"/>
        <v>"indent":3,</v>
      </c>
      <c r="Q267" t="str">
        <f t="shared" si="38"/>
        <v>"default_value":"",</v>
      </c>
      <c r="R267" t="str">
        <f t="shared" si="44"/>
        <v>"docs_url":"https://looker.com/docs/r/lookml/types/query/filters?version=7.14&amp;lookml=new",</v>
      </c>
      <c r="S267" t="str">
        <f t="shared" si="45"/>
        <v>"has_allowed_values":False,</v>
      </c>
      <c r="T267" t="str">
        <f t="shared" si="46"/>
        <v>"allowed_values":""</v>
      </c>
    </row>
    <row r="268" spans="1:20" ht="13" x14ac:dyDescent="0.15">
      <c r="A268" s="7">
        <v>293</v>
      </c>
      <c r="B268" s="6" t="s">
        <v>487</v>
      </c>
      <c r="C268" s="6" t="s">
        <v>112</v>
      </c>
      <c r="D268" s="4" t="s">
        <v>62</v>
      </c>
      <c r="E268" s="4" t="s">
        <v>598</v>
      </c>
      <c r="F268" s="4">
        <v>3</v>
      </c>
      <c r="G268" s="4">
        <v>5000</v>
      </c>
      <c r="H268" s="4" t="s">
        <v>403</v>
      </c>
      <c r="I268" s="4" t="b">
        <v>0</v>
      </c>
      <c r="K268" s="4" t="b">
        <f>IF(COUNTIF($B$2:$B268,B268)&gt;1,TRUE,FALSE)</f>
        <v>1</v>
      </c>
      <c r="L268" t="str">
        <f t="shared" si="39"/>
        <v>p["limit"].update({"query":{"type":"string_unquoted","subtype":"number","indent":3,"default_value":"5000","docs_url":"https://looker.com/docs/r/lookml/types/query/limit?version=7.14&amp;lookml=new","has_allowed_values":False,"allowed_values":""}})</v>
      </c>
      <c r="M268" t="str">
        <f t="shared" si="40"/>
        <v>{"limit":{"query":{"type":"string_unquoted","subtype":"number","indent":3,"default_value":"5000","docs_url":"https://looker.com/docs/r/lookml/types/query/limit?version=7.14&amp;lookml=new","has_allowed_values":False,"allowed_values":""}}}</v>
      </c>
      <c r="N268" t="str">
        <f t="shared" si="41"/>
        <v>"type":"string_unquoted",</v>
      </c>
      <c r="O268" t="str">
        <f t="shared" si="42"/>
        <v>"subtype":"number",</v>
      </c>
      <c r="P268" t="str">
        <f t="shared" si="43"/>
        <v>"indent":3,</v>
      </c>
      <c r="Q268" t="str">
        <f t="shared" ref="Q268:Q331" si="47">"""default_value"":"&amp;IF(G268="""""",""""",",IF(LEFT(G268,1)="[",G268,""""&amp;G268&amp;"""")&amp;",")</f>
        <v>"default_value":"5000",</v>
      </c>
      <c r="R268" t="str">
        <f t="shared" si="44"/>
        <v>"docs_url":"https://looker.com/docs/r/lookml/types/query/limit?version=7.14&amp;lookml=new",</v>
      </c>
      <c r="S268" t="str">
        <f t="shared" si="45"/>
        <v>"has_allowed_values":False,</v>
      </c>
      <c r="T268" t="str">
        <f t="shared" si="46"/>
        <v>"allowed_values":""</v>
      </c>
    </row>
    <row r="269" spans="1:20" ht="13" x14ac:dyDescent="0.15">
      <c r="A269" s="7">
        <v>294</v>
      </c>
      <c r="B269" s="6" t="s">
        <v>489</v>
      </c>
      <c r="C269" s="6" t="s">
        <v>112</v>
      </c>
      <c r="D269" s="4" t="s">
        <v>538</v>
      </c>
      <c r="E269" s="4" t="s">
        <v>489</v>
      </c>
      <c r="F269" s="4">
        <v>3</v>
      </c>
      <c r="H269" s="4" t="s">
        <v>404</v>
      </c>
      <c r="I269" s="4" t="b">
        <v>0</v>
      </c>
      <c r="K269" s="4" t="b">
        <f>IF(COUNTIF($B$2:$B269,B269)&gt;1,TRUE,FALSE)</f>
        <v>1</v>
      </c>
      <c r="L269" t="str">
        <f t="shared" si="39"/>
        <v>p["sorts"].update({"query":{"type":"sorts","subtype":"field-ref-to-sort-map","indent":3,"default_value":"","docs_url":"https://looker.com/docs/r/lookml/types/query/sorts?version=7.14&amp;lookml=new","has_allowed_values":False,"allowed_values":""}})</v>
      </c>
      <c r="M269" t="str">
        <f t="shared" si="40"/>
        <v>{"sorts":{"query":{"type":"sorts","subtype":"field-ref-to-sort-map","indent":3,"default_value":"","docs_url":"https://looker.com/docs/r/lookml/types/query/sorts?version=7.14&amp;lookml=new","has_allowed_values":False,"allowed_values":""}}}</v>
      </c>
      <c r="N269" t="str">
        <f t="shared" si="41"/>
        <v>"type":"sorts",</v>
      </c>
      <c r="O269" t="str">
        <f t="shared" si="42"/>
        <v>"subtype":"field-ref-to-sort-map",</v>
      </c>
      <c r="P269" t="str">
        <f t="shared" si="43"/>
        <v>"indent":3,</v>
      </c>
      <c r="Q269" t="str">
        <f t="shared" si="47"/>
        <v>"default_value":"",</v>
      </c>
      <c r="R269" t="str">
        <f t="shared" si="44"/>
        <v>"docs_url":"https://looker.com/docs/r/lookml/types/query/sorts?version=7.14&amp;lookml=new",</v>
      </c>
      <c r="S269" t="str">
        <f t="shared" si="45"/>
        <v>"has_allowed_values":False,</v>
      </c>
      <c r="T269" t="str">
        <f t="shared" si="46"/>
        <v>"allowed_values":""</v>
      </c>
    </row>
    <row r="270" spans="1:20" ht="13" x14ac:dyDescent="0.15">
      <c r="A270" s="7">
        <v>295</v>
      </c>
      <c r="B270" s="6" t="s">
        <v>23</v>
      </c>
      <c r="C270" s="6" t="s">
        <v>112</v>
      </c>
      <c r="D270" s="4" t="s">
        <v>29</v>
      </c>
      <c r="E270" s="4" t="s">
        <v>0</v>
      </c>
      <c r="F270" s="4">
        <v>3</v>
      </c>
      <c r="G270" s="4" t="s">
        <v>591</v>
      </c>
      <c r="H270" s="4" t="s">
        <v>405</v>
      </c>
      <c r="I270" s="4" t="b">
        <v>0</v>
      </c>
      <c r="K270" s="4" t="b">
        <f>IF(COUNTIF($B$2:$B270,B270)&gt;1,TRUE,FALSE)</f>
        <v>1</v>
      </c>
      <c r="L270" t="str">
        <f t="shared" si="39"/>
        <v>p["label"].update({"query":{"type":"string","subtype":"possibly-localized-string","indent":3,"default_value":"","docs_url":"https://looker.com/docs/r/lookml/types/query/label?version=7.14&amp;lookml=new","has_allowed_values":False,"allowed_values":""}})</v>
      </c>
      <c r="M270" t="str">
        <f t="shared" si="40"/>
        <v>{"label":{"query":{"type":"string","subtype":"possibly-localized-string","indent":3,"default_value":"","docs_url":"https://looker.com/docs/r/lookml/types/query/label?version=7.14&amp;lookml=new","has_allowed_values":False,"allowed_values":""}}}</v>
      </c>
      <c r="N270" t="str">
        <f t="shared" si="41"/>
        <v>"type":"string",</v>
      </c>
      <c r="O270" t="str">
        <f t="shared" si="42"/>
        <v>"subtype":"possibly-localized-string",</v>
      </c>
      <c r="P270" t="str">
        <f t="shared" si="43"/>
        <v>"indent":3,</v>
      </c>
      <c r="Q270" t="str">
        <f t="shared" si="47"/>
        <v>"default_value":"",</v>
      </c>
      <c r="R270" t="str">
        <f t="shared" si="44"/>
        <v>"docs_url":"https://looker.com/docs/r/lookml/types/query/label?version=7.14&amp;lookml=new",</v>
      </c>
      <c r="S270" t="str">
        <f t="shared" si="45"/>
        <v>"has_allowed_values":False,</v>
      </c>
      <c r="T270" t="str">
        <f t="shared" si="46"/>
        <v>"allowed_values":""</v>
      </c>
    </row>
    <row r="271" spans="1:20" ht="13" x14ac:dyDescent="0.15">
      <c r="A271" s="7">
        <v>296</v>
      </c>
      <c r="B271" s="6" t="s">
        <v>493</v>
      </c>
      <c r="C271" s="6" t="s">
        <v>112</v>
      </c>
      <c r="D271" s="4" t="s">
        <v>17</v>
      </c>
      <c r="E271" s="4" t="s">
        <v>595</v>
      </c>
      <c r="F271" s="4">
        <v>3</v>
      </c>
      <c r="H271" s="4" t="s">
        <v>406</v>
      </c>
      <c r="I271" s="4" t="b">
        <v>0</v>
      </c>
      <c r="K271" s="4" t="b">
        <f>IF(COUNTIF($B$2:$B271,B271)&gt;1,TRUE,FALSE)</f>
        <v>0</v>
      </c>
      <c r="L271" t="str">
        <f t="shared" si="39"/>
        <v>p.update({"pivots":{"query":{"type":"list_unquoted","subtype":"field-ref","indent":3,"default_value":"","docs_url":"https://looker.com/docs/r/lookml/types/query/pivots?version=7.14&amp;lookml=new","has_allowed_values":False,"allowed_values":""}}})</v>
      </c>
      <c r="M271" t="str">
        <f t="shared" si="40"/>
        <v>{"pivots":{"query":{"type":"list_unquoted","subtype":"field-ref","indent":3,"default_value":"","docs_url":"https://looker.com/docs/r/lookml/types/query/pivots?version=7.14&amp;lookml=new","has_allowed_values":False,"allowed_values":""}}}</v>
      </c>
      <c r="N271" t="str">
        <f t="shared" si="41"/>
        <v>"type":"list_unquoted",</v>
      </c>
      <c r="O271" t="str">
        <f t="shared" si="42"/>
        <v>"subtype":"field-ref",</v>
      </c>
      <c r="P271" t="str">
        <f t="shared" si="43"/>
        <v>"indent":3,</v>
      </c>
      <c r="Q271" t="str">
        <f t="shared" si="47"/>
        <v>"default_value":"",</v>
      </c>
      <c r="R271" t="str">
        <f t="shared" si="44"/>
        <v>"docs_url":"https://looker.com/docs/r/lookml/types/query/pivots?version=7.14&amp;lookml=new",</v>
      </c>
      <c r="S271" t="str">
        <f t="shared" si="45"/>
        <v>"has_allowed_values":False,</v>
      </c>
      <c r="T271" t="str">
        <f t="shared" si="46"/>
        <v>"allowed_values":""</v>
      </c>
    </row>
    <row r="272" spans="1:20" ht="13" x14ac:dyDescent="0.15">
      <c r="A272" s="7">
        <v>297</v>
      </c>
      <c r="B272" s="6" t="s">
        <v>490</v>
      </c>
      <c r="C272" s="6" t="s">
        <v>112</v>
      </c>
      <c r="D272" s="4" t="s">
        <v>550</v>
      </c>
      <c r="E272" s="4" t="s">
        <v>550</v>
      </c>
      <c r="F272" s="4">
        <v>3</v>
      </c>
      <c r="G272" s="4" t="s">
        <v>557</v>
      </c>
      <c r="H272" s="4" t="s">
        <v>407</v>
      </c>
      <c r="I272" s="4" t="b">
        <v>1</v>
      </c>
      <c r="J272" t="s">
        <v>560</v>
      </c>
      <c r="K272" s="4" t="b">
        <f>IF(COUNTIF($B$2:$B272,B272)&gt;1,TRUE,FALSE)</f>
        <v>1</v>
      </c>
      <c r="L272" t="str">
        <f t="shared" si="39"/>
        <v>p["timezone"].update({"query":{"type":"options","subtype":"options","indent":3,"default_value":"America/Los_Angeles","docs_url":"https://looker.com/docs/r/lookml/types/query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)</v>
      </c>
      <c r="M272" t="str">
        <f t="shared" si="40"/>
        <v>{"timezone":{"query":{"type":"options","subtype":"options","indent":3,"default_value":"America/Los_Angeles","docs_url":"https://looker.com/docs/r/lookml/types/query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}</v>
      </c>
      <c r="N272" t="str">
        <f t="shared" si="41"/>
        <v>"type":"options",</v>
      </c>
      <c r="O272" t="str">
        <f t="shared" si="42"/>
        <v>"subtype":"options",</v>
      </c>
      <c r="P272" t="str">
        <f t="shared" si="43"/>
        <v>"indent":3,</v>
      </c>
      <c r="Q272" t="str">
        <f t="shared" si="47"/>
        <v>"default_value":"America/Los_Angeles",</v>
      </c>
      <c r="R272" t="str">
        <f t="shared" si="44"/>
        <v>"docs_url":"https://looker.com/docs/r/lookml/types/query/timezone?version=7.14&amp;lookml=new",</v>
      </c>
      <c r="S272" t="str">
        <f t="shared" si="45"/>
        <v>"has_allowed_values":True,</v>
      </c>
      <c r="T272" t="str">
        <f t="shared" si="46"/>
        <v>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</v>
      </c>
    </row>
    <row r="273" spans="1:20" ht="13" hidden="1" x14ac:dyDescent="0.15">
      <c r="A273" s="7">
        <v>300</v>
      </c>
      <c r="B273" s="6" t="s">
        <v>76</v>
      </c>
      <c r="C273" s="6" t="s">
        <v>113</v>
      </c>
      <c r="D273" s="4" t="s">
        <v>0</v>
      </c>
      <c r="E273" s="4" t="s">
        <v>0</v>
      </c>
      <c r="F273" s="4">
        <v>3</v>
      </c>
      <c r="G273" s="4" t="s">
        <v>591</v>
      </c>
      <c r="H273" s="4" t="s">
        <v>408</v>
      </c>
      <c r="I273" s="4" t="b">
        <v>0</v>
      </c>
      <c r="K273" s="4" t="b">
        <f>IF(COUNTIF($B$2:$B273,B273)&gt;1,TRUE,FALSE)</f>
        <v>1</v>
      </c>
      <c r="L273" t="str">
        <f t="shared" si="39"/>
        <v>p["persist_for"].update({"materialization":{"type":"string","subtype":"string","indent":3,"default_value":"","docs_url":"https://looker.com/docs/r/lookml/types/materialization/persist_for?version=7.14&amp;lookml=new","has_allowed_values":False,"allowed_values":""}})</v>
      </c>
      <c r="M273" t="str">
        <f t="shared" si="40"/>
        <v>{"persist_for":{"materialization":{"type":"string","subtype":"string","indent":3,"default_value":"","docs_url":"https://looker.com/docs/r/lookml/types/materialization/persist_for?version=7.14&amp;lookml=new","has_allowed_values":False,"allowed_values":""}}}</v>
      </c>
      <c r="N273" t="str">
        <f t="shared" si="41"/>
        <v>"type":"string",</v>
      </c>
      <c r="O273" t="str">
        <f t="shared" si="42"/>
        <v>"subtype":"string",</v>
      </c>
      <c r="P273" t="str">
        <f t="shared" si="43"/>
        <v>"indent":3,</v>
      </c>
      <c r="Q273" t="str">
        <f t="shared" si="47"/>
        <v>"default_value":"",</v>
      </c>
      <c r="R273" t="str">
        <f t="shared" si="44"/>
        <v>"docs_url":"https://looker.com/docs/r/lookml/types/materialization/persist_for?version=7.14&amp;lookml=new",</v>
      </c>
      <c r="S273" t="str">
        <f t="shared" si="45"/>
        <v>"has_allowed_values":False,</v>
      </c>
      <c r="T273" t="str">
        <f t="shared" si="46"/>
        <v>"allowed_values":""</v>
      </c>
    </row>
    <row r="274" spans="1:20" ht="13" hidden="1" x14ac:dyDescent="0.15">
      <c r="A274" s="7">
        <v>301</v>
      </c>
      <c r="B274" s="6" t="s">
        <v>80</v>
      </c>
      <c r="C274" s="6" t="s">
        <v>113</v>
      </c>
      <c r="D274" s="4" t="s">
        <v>611</v>
      </c>
      <c r="E274" s="4" t="s">
        <v>34</v>
      </c>
      <c r="F274" s="4">
        <v>3</v>
      </c>
      <c r="G274" s="4" t="s">
        <v>591</v>
      </c>
      <c r="H274" s="4" t="s">
        <v>409</v>
      </c>
      <c r="I274" s="4" t="b">
        <v>0</v>
      </c>
      <c r="K274" s="4" t="b">
        <f>IF(COUNTIF($B$2:$B274,B274)&gt;1,TRUE,FALSE)</f>
        <v>1</v>
      </c>
      <c r="L274" t="str">
        <f t="shared" si="39"/>
        <v>p["sql_trigger_value"].update({"materialization":{"type":"sql","subtype":"sql-block ","indent":3,"default_value":"","docs_url":"https://looker.com/docs/r/lookml/types/materialization/sql_trigger_value?version=7.14&amp;lookml=new","has_allowed_values":False,"allowed_values":""}})</v>
      </c>
      <c r="M274" t="str">
        <f t="shared" si="40"/>
        <v>{"sql_trigger_value":{"materialization":{"type":"sql","subtype":"sql-block ","indent":3,"default_value":"","docs_url":"https://looker.com/docs/r/lookml/types/materialization/sql_trigger_value?version=7.14&amp;lookml=new","has_allowed_values":False,"allowed_values":""}}}</v>
      </c>
      <c r="N274" t="str">
        <f t="shared" si="41"/>
        <v>"type":"sql",</v>
      </c>
      <c r="O274" t="str">
        <f t="shared" si="42"/>
        <v>"subtype":"sql-block ",</v>
      </c>
      <c r="P274" t="str">
        <f t="shared" si="43"/>
        <v>"indent":3,</v>
      </c>
      <c r="Q274" t="str">
        <f t="shared" si="47"/>
        <v>"default_value":"",</v>
      </c>
      <c r="R274" t="str">
        <f t="shared" si="44"/>
        <v>"docs_url":"https://looker.com/docs/r/lookml/types/materialization/sql_trigger_value?version=7.14&amp;lookml=new",</v>
      </c>
      <c r="S274" t="str">
        <f t="shared" si="45"/>
        <v>"has_allowed_values":False,</v>
      </c>
      <c r="T274" t="str">
        <f t="shared" si="46"/>
        <v>"allowed_values":""</v>
      </c>
    </row>
    <row r="275" spans="1:20" ht="13" hidden="1" x14ac:dyDescent="0.15">
      <c r="A275" s="7">
        <v>302</v>
      </c>
      <c r="B275" s="6" t="s">
        <v>69</v>
      </c>
      <c r="C275" s="6" t="s">
        <v>113</v>
      </c>
      <c r="D275" s="4" t="s">
        <v>68</v>
      </c>
      <c r="E275" s="1" t="s">
        <v>598</v>
      </c>
      <c r="F275" s="4">
        <v>3</v>
      </c>
      <c r="H275" s="4" t="s">
        <v>410</v>
      </c>
      <c r="I275" s="4" t="b">
        <v>0</v>
      </c>
      <c r="K275" s="4" t="b">
        <f>IF(COUNTIF($B$2:$B275,B275)&gt;1,TRUE,FALSE)</f>
        <v>1</v>
      </c>
      <c r="L275" t="str">
        <f t="shared" si="39"/>
        <v>p["datagroup_trigger"].update({"materialization":{"type":"string_unquoted","subtype":"datagroup-ref","indent":3,"default_value":"","docs_url":"https://looker.com/docs/r/lookml/types/materialization/datagroup_trigger?version=7.14&amp;lookml=new","has_allowed_values":False,"allowed_values":""}})</v>
      </c>
      <c r="M275" t="str">
        <f t="shared" si="40"/>
        <v>{"datagroup_trigger":{"materialization":{"type":"string_unquoted","subtype":"datagroup-ref","indent":3,"default_value":"","docs_url":"https://looker.com/docs/r/lookml/types/materialization/datagroup_trigger?version=7.14&amp;lookml=new","has_allowed_values":False,"allowed_values":""}}}</v>
      </c>
      <c r="N275" t="str">
        <f t="shared" si="41"/>
        <v>"type":"string_unquoted",</v>
      </c>
      <c r="O275" t="str">
        <f t="shared" si="42"/>
        <v>"subtype":"datagroup-ref",</v>
      </c>
      <c r="P275" t="str">
        <f t="shared" si="43"/>
        <v>"indent":3,</v>
      </c>
      <c r="Q275" t="str">
        <f t="shared" si="47"/>
        <v>"default_value":"",</v>
      </c>
      <c r="R275" t="str">
        <f t="shared" si="44"/>
        <v>"docs_url":"https://looker.com/docs/r/lookml/types/materialization/datagroup_trigger?version=7.14&amp;lookml=new",</v>
      </c>
      <c r="S275" t="str">
        <f t="shared" si="45"/>
        <v>"has_allowed_values":False,</v>
      </c>
      <c r="T275" t="str">
        <f t="shared" si="46"/>
        <v>"allowed_values":""</v>
      </c>
    </row>
    <row r="276" spans="1:20" ht="13" hidden="1" x14ac:dyDescent="0.15">
      <c r="A276" s="7">
        <v>304</v>
      </c>
      <c r="B276" s="7" t="s">
        <v>126</v>
      </c>
      <c r="C276" s="7" t="s">
        <v>114</v>
      </c>
      <c r="D276" s="4" t="s">
        <v>95</v>
      </c>
      <c r="E276" s="4" t="s">
        <v>592</v>
      </c>
      <c r="F276" s="4">
        <v>0</v>
      </c>
      <c r="H276" s="4" t="s">
        <v>157</v>
      </c>
      <c r="I276" s="4" t="b">
        <v>0</v>
      </c>
      <c r="K276" s="4" t="b">
        <f>IF(COUNTIF($B$2:$B276,B276)&gt;1,TRUE,FALSE)</f>
        <v>1</v>
      </c>
      <c r="L276" t="str">
        <f t="shared" si="39"/>
        <v>p["application"].update({"manifest":{"type":"named_construct","subtype":"identifier","indent":0,"default_value":"","docs_url":"https://looker.com/docs/r/lookml/types/manifest/application?version=7.14&amp;lookml=new","has_allowed_values":False,"allowed_values":""}})</v>
      </c>
      <c r="M276" t="str">
        <f t="shared" si="40"/>
        <v>{"application":{"manifest":{"type":"named_construct","subtype":"identifier","indent":0,"default_value":"","docs_url":"https://looker.com/docs/r/lookml/types/manifest/application?version=7.14&amp;lookml=new","has_allowed_values":False,"allowed_values":""}}}</v>
      </c>
      <c r="N276" t="str">
        <f t="shared" si="41"/>
        <v>"type":"named_construct",</v>
      </c>
      <c r="O276" t="str">
        <f t="shared" si="42"/>
        <v>"subtype":"identifier",</v>
      </c>
      <c r="P276" t="str">
        <f t="shared" si="43"/>
        <v>"indent":0,</v>
      </c>
      <c r="Q276" t="str">
        <f t="shared" si="47"/>
        <v>"default_value":"",</v>
      </c>
      <c r="R276" t="str">
        <f t="shared" si="44"/>
        <v>"docs_url":"https://looker.com/docs/r/lookml/types/manifest/application?version=7.14&amp;lookml=new",</v>
      </c>
      <c r="S276" t="str">
        <f t="shared" si="45"/>
        <v>"has_allowed_values":False,</v>
      </c>
      <c r="T276" t="str">
        <f t="shared" si="46"/>
        <v>"allowed_values":""</v>
      </c>
    </row>
    <row r="277" spans="1:20" ht="13" hidden="1" x14ac:dyDescent="0.15">
      <c r="A277" s="7">
        <v>305</v>
      </c>
      <c r="B277" s="6" t="s">
        <v>23</v>
      </c>
      <c r="C277" s="6" t="s">
        <v>126</v>
      </c>
      <c r="D277" s="4" t="s">
        <v>29</v>
      </c>
      <c r="E277" s="4" t="s">
        <v>0</v>
      </c>
      <c r="F277" s="4">
        <v>1</v>
      </c>
      <c r="G277" s="4" t="s">
        <v>591</v>
      </c>
      <c r="H277" s="4" t="s">
        <v>411</v>
      </c>
      <c r="I277" s="4" t="b">
        <v>0</v>
      </c>
      <c r="K277" s="4" t="b">
        <f>IF(COUNTIF($B$2:$B277,B277)&gt;1,TRUE,FALSE)</f>
        <v>1</v>
      </c>
      <c r="L277" t="str">
        <f t="shared" si="39"/>
        <v>p["label"].update({"application":{"type":"string","subtype":"possibly-localized-string","indent":1,"default_value":"","docs_url":"https://looker.com/docs/r/lookml/types/application/label?version=7.14&amp;lookml=new","has_allowed_values":False,"allowed_values":""}})</v>
      </c>
      <c r="M277" t="str">
        <f t="shared" si="40"/>
        <v>{"label":{"application":{"type":"string","subtype":"possibly-localized-string","indent":1,"default_value":"","docs_url":"https://looker.com/docs/r/lookml/types/application/label?version=7.14&amp;lookml=new","has_allowed_values":False,"allowed_values":""}}}</v>
      </c>
      <c r="N277" t="str">
        <f t="shared" si="41"/>
        <v>"type":"string",</v>
      </c>
      <c r="O277" t="str">
        <f t="shared" si="42"/>
        <v>"subtype":"possibly-localized-string",</v>
      </c>
      <c r="P277" t="str">
        <f t="shared" si="43"/>
        <v>"indent":1,</v>
      </c>
      <c r="Q277" t="str">
        <f t="shared" si="47"/>
        <v>"default_value":"",</v>
      </c>
      <c r="R277" t="str">
        <f t="shared" si="44"/>
        <v>"docs_url":"https://looker.com/docs/r/lookml/types/application/label?version=7.14&amp;lookml=new",</v>
      </c>
      <c r="S277" t="str">
        <f t="shared" si="45"/>
        <v>"has_allowed_values":False,</v>
      </c>
      <c r="T277" t="str">
        <f t="shared" si="46"/>
        <v>"allowed_values":""</v>
      </c>
    </row>
    <row r="278" spans="1:20" ht="13" hidden="1" x14ac:dyDescent="0.15">
      <c r="A278" s="7">
        <v>306</v>
      </c>
      <c r="B278" s="6" t="s">
        <v>494</v>
      </c>
      <c r="C278" s="6" t="s">
        <v>126</v>
      </c>
      <c r="D278" s="4" t="s">
        <v>0</v>
      </c>
      <c r="E278" s="4" t="s">
        <v>0</v>
      </c>
      <c r="F278" s="4">
        <v>1</v>
      </c>
      <c r="G278" s="4" t="s">
        <v>591</v>
      </c>
      <c r="H278" s="4" t="s">
        <v>412</v>
      </c>
      <c r="I278" s="4" t="b">
        <v>0</v>
      </c>
      <c r="K278" s="4" t="b">
        <f>IF(COUNTIF($B$2:$B278,B278)&gt;1,TRUE,FALSE)</f>
        <v>0</v>
      </c>
      <c r="L278" t="str">
        <f t="shared" si="39"/>
        <v>p.update({"url":{"application":{"type":"string","subtype":"string","indent":1,"default_value":"","docs_url":"https://looker.com/docs/r/lookml/types/application/url?version=7.14&amp;lookml=new","has_allowed_values":False,"allowed_values":""}}})</v>
      </c>
      <c r="M278" t="str">
        <f t="shared" si="40"/>
        <v>{"url":{"application":{"type":"string","subtype":"string","indent":1,"default_value":"","docs_url":"https://looker.com/docs/r/lookml/types/application/url?version=7.14&amp;lookml=new","has_allowed_values":False,"allowed_values":""}}}</v>
      </c>
      <c r="N278" t="str">
        <f t="shared" si="41"/>
        <v>"type":"string",</v>
      </c>
      <c r="O278" t="str">
        <f t="shared" si="42"/>
        <v>"subtype":"string",</v>
      </c>
      <c r="P278" t="str">
        <f t="shared" si="43"/>
        <v>"indent":1,</v>
      </c>
      <c r="Q278" t="str">
        <f t="shared" si="47"/>
        <v>"default_value":"",</v>
      </c>
      <c r="R278" t="str">
        <f t="shared" si="44"/>
        <v>"docs_url":"https://looker.com/docs/r/lookml/types/application/url?version=7.14&amp;lookml=new",</v>
      </c>
      <c r="S278" t="str">
        <f t="shared" si="45"/>
        <v>"has_allowed_values":False,</v>
      </c>
      <c r="T278" t="str">
        <f t="shared" si="46"/>
        <v>"allowed_values":""</v>
      </c>
    </row>
    <row r="279" spans="1:20" ht="13" hidden="1" x14ac:dyDescent="0.15">
      <c r="A279" s="7">
        <v>307</v>
      </c>
      <c r="B279" s="6" t="s">
        <v>495</v>
      </c>
      <c r="C279" s="6" t="s">
        <v>126</v>
      </c>
      <c r="D279" s="4" t="s">
        <v>0</v>
      </c>
      <c r="E279" s="4" t="s">
        <v>0</v>
      </c>
      <c r="F279" s="4">
        <v>1</v>
      </c>
      <c r="G279" s="4" t="s">
        <v>591</v>
      </c>
      <c r="H279" s="4" t="s">
        <v>413</v>
      </c>
      <c r="I279" s="4" t="b">
        <v>0</v>
      </c>
      <c r="K279" s="4" t="b">
        <f>IF(COUNTIF($B$2:$B279,B279)&gt;1,TRUE,FALSE)</f>
        <v>0</v>
      </c>
      <c r="L279" t="str">
        <f t="shared" si="39"/>
        <v>p.update({"file":{"application":{"type":"string","subtype":"string","indent":1,"default_value":"","docs_url":"https://looker.com/docs/r/lookml/types/application/file?version=7.14&amp;lookml=new","has_allowed_values":False,"allowed_values":""}}})</v>
      </c>
      <c r="M279" t="str">
        <f t="shared" si="40"/>
        <v>{"file":{"application":{"type":"string","subtype":"string","indent":1,"default_value":"","docs_url":"https://looker.com/docs/r/lookml/types/application/file?version=7.14&amp;lookml=new","has_allowed_values":False,"allowed_values":""}}}</v>
      </c>
      <c r="N279" t="str">
        <f t="shared" si="41"/>
        <v>"type":"string",</v>
      </c>
      <c r="O279" t="str">
        <f t="shared" si="42"/>
        <v>"subtype":"string",</v>
      </c>
      <c r="P279" t="str">
        <f t="shared" si="43"/>
        <v>"indent":1,</v>
      </c>
      <c r="Q279" t="str">
        <f t="shared" si="47"/>
        <v>"default_value":"",</v>
      </c>
      <c r="R279" t="str">
        <f t="shared" si="44"/>
        <v>"docs_url":"https://looker.com/docs/r/lookml/types/application/file?version=7.14&amp;lookml=new",</v>
      </c>
      <c r="S279" t="str">
        <f t="shared" si="45"/>
        <v>"has_allowed_values":False,</v>
      </c>
      <c r="T279" t="str">
        <f t="shared" si="46"/>
        <v>"allowed_values":""</v>
      </c>
    </row>
    <row r="280" spans="1:20" ht="13" hidden="1" x14ac:dyDescent="0.15">
      <c r="A280" s="7">
        <v>308</v>
      </c>
      <c r="B280" s="6" t="s">
        <v>115</v>
      </c>
      <c r="C280" s="6" t="s">
        <v>126</v>
      </c>
      <c r="D280" s="4" t="s">
        <v>539</v>
      </c>
      <c r="E280" s="4" t="s">
        <v>539</v>
      </c>
      <c r="F280" s="4">
        <v>2</v>
      </c>
      <c r="H280" s="4" t="s">
        <v>414</v>
      </c>
      <c r="I280" s="4" t="b">
        <v>0</v>
      </c>
      <c r="K280" s="4" t="b">
        <f>IF(COUNTIF($B$2:$B280,B280)&gt;1,TRUE,FALSE)</f>
        <v>0</v>
      </c>
      <c r="L280" t="str">
        <f t="shared" si="39"/>
        <v>p.update({"entitlements":{"application":{"type":"anonymous_construct","subtype":"anonymous_construct","indent":2,"default_value":"","docs_url":"https://looker.com/docs/r/lookml/types/application/entitlements?version=7.14&amp;lookml=new","has_allowed_values":False,"allowed_values":""}}})</v>
      </c>
      <c r="M280" t="str">
        <f t="shared" si="40"/>
        <v>{"entitlements":{"application":{"type":"anonymous_construct","subtype":"anonymous_construct","indent":2,"default_value":"","docs_url":"https://looker.com/docs/r/lookml/types/application/entitlements?version=7.14&amp;lookml=new","has_allowed_values":False,"allowed_values":""}}}</v>
      </c>
      <c r="N280" t="str">
        <f t="shared" si="41"/>
        <v>"type":"anonymous_construct",</v>
      </c>
      <c r="O280" t="str">
        <f t="shared" si="42"/>
        <v>"subtype":"anonymous_construct",</v>
      </c>
      <c r="P280" t="str">
        <f t="shared" si="43"/>
        <v>"indent":2,</v>
      </c>
      <c r="Q280" t="str">
        <f t="shared" si="47"/>
        <v>"default_value":"",</v>
      </c>
      <c r="R280" t="str">
        <f t="shared" si="44"/>
        <v>"docs_url":"https://looker.com/docs/r/lookml/types/application/entitlements?version=7.14&amp;lookml=new",</v>
      </c>
      <c r="S280" t="str">
        <f t="shared" si="45"/>
        <v>"has_allowed_values":False,</v>
      </c>
      <c r="T280" t="str">
        <f t="shared" si="46"/>
        <v>"allowed_values":""</v>
      </c>
    </row>
    <row r="281" spans="1:20" ht="13" hidden="1" x14ac:dyDescent="0.15">
      <c r="A281" s="7">
        <v>311</v>
      </c>
      <c r="B281" s="6" t="s">
        <v>496</v>
      </c>
      <c r="C281" s="6" t="s">
        <v>115</v>
      </c>
      <c r="D281" s="4" t="s">
        <v>568</v>
      </c>
      <c r="E281" s="4" t="s">
        <v>568</v>
      </c>
      <c r="F281" s="4">
        <v>3</v>
      </c>
      <c r="G281" s="4" t="s">
        <v>603</v>
      </c>
      <c r="H281" s="4" t="s">
        <v>415</v>
      </c>
      <c r="I281" s="4" t="b">
        <v>0</v>
      </c>
      <c r="K281" s="4" t="b">
        <f>IF(COUNTIF($B$2:$B281,B281)&gt;1,TRUE,FALSE)</f>
        <v>0</v>
      </c>
      <c r="L281" t="str">
        <f t="shared" si="39"/>
        <v>p.update({"local_storage":{"entitlements":{"type":"yesno","subtype":"yesno","indent":3,"default_value":"no","docs_url":"https://looker.com/docs/r/lookml/types/entitlements/local_storage?version=7.14&amp;lookml=new","has_allowed_values":False,"allowed_values":""}}})</v>
      </c>
      <c r="M281" t="str">
        <f t="shared" si="40"/>
        <v>{"local_storage":{"entitlements":{"type":"yesno","subtype":"yesno","indent":3,"default_value":"no","docs_url":"https://looker.com/docs/r/lookml/types/entitlements/local_storage?version=7.14&amp;lookml=new","has_allowed_values":False,"allowed_values":""}}}</v>
      </c>
      <c r="N281" t="str">
        <f t="shared" si="41"/>
        <v>"type":"yesno",</v>
      </c>
      <c r="O281" t="str">
        <f t="shared" si="42"/>
        <v>"subtype":"yesno",</v>
      </c>
      <c r="P281" t="str">
        <f t="shared" si="43"/>
        <v>"indent":3,</v>
      </c>
      <c r="Q281" t="str">
        <f t="shared" si="47"/>
        <v>"default_value":"no",</v>
      </c>
      <c r="R281" t="str">
        <f t="shared" si="44"/>
        <v>"docs_url":"https://looker.com/docs/r/lookml/types/entitlements/local_storage?version=7.14&amp;lookml=new",</v>
      </c>
      <c r="S281" t="str">
        <f t="shared" si="45"/>
        <v>"has_allowed_values":False,</v>
      </c>
      <c r="T281" t="str">
        <f t="shared" si="46"/>
        <v>"allowed_values":""</v>
      </c>
    </row>
    <row r="282" spans="1:20" ht="13" hidden="1" x14ac:dyDescent="0.15">
      <c r="A282" s="7">
        <v>312</v>
      </c>
      <c r="B282" s="6" t="s">
        <v>497</v>
      </c>
      <c r="C282" s="6" t="s">
        <v>115</v>
      </c>
      <c r="D282" s="4" t="s">
        <v>568</v>
      </c>
      <c r="E282" s="4" t="s">
        <v>568</v>
      </c>
      <c r="F282" s="4">
        <v>3</v>
      </c>
      <c r="G282" s="4" t="s">
        <v>603</v>
      </c>
      <c r="H282" s="4" t="s">
        <v>416</v>
      </c>
      <c r="I282" s="4" t="b">
        <v>0</v>
      </c>
      <c r="K282" s="4" t="b">
        <f>IF(COUNTIF($B$2:$B282,B282)&gt;1,TRUE,FALSE)</f>
        <v>0</v>
      </c>
      <c r="L282" t="str">
        <f t="shared" si="39"/>
        <v>p.update({"navigation":{"entitlements":{"type":"yesno","subtype":"yesno","indent":3,"default_value":"no","docs_url":"https://looker.com/docs/r/lookml/types/entitlements/navigation?version=7.14&amp;lookml=new","has_allowed_values":False,"allowed_values":""}}})</v>
      </c>
      <c r="M282" t="str">
        <f t="shared" si="40"/>
        <v>{"navigation":{"entitlements":{"type":"yesno","subtype":"yesno","indent":3,"default_value":"no","docs_url":"https://looker.com/docs/r/lookml/types/entitlements/navigation?version=7.14&amp;lookml=new","has_allowed_values":False,"allowed_values":""}}}</v>
      </c>
      <c r="N282" t="str">
        <f t="shared" si="41"/>
        <v>"type":"yesno",</v>
      </c>
      <c r="O282" t="str">
        <f t="shared" si="42"/>
        <v>"subtype":"yesno",</v>
      </c>
      <c r="P282" t="str">
        <f t="shared" si="43"/>
        <v>"indent":3,</v>
      </c>
      <c r="Q282" t="str">
        <f t="shared" si="47"/>
        <v>"default_value":"no",</v>
      </c>
      <c r="R282" t="str">
        <f t="shared" si="44"/>
        <v>"docs_url":"https://looker.com/docs/r/lookml/types/entitlements/navigation?version=7.14&amp;lookml=new",</v>
      </c>
      <c r="S282" t="str">
        <f t="shared" si="45"/>
        <v>"has_allowed_values":False,</v>
      </c>
      <c r="T282" t="str">
        <f t="shared" si="46"/>
        <v>"allowed_values":""</v>
      </c>
    </row>
    <row r="283" spans="1:20" ht="13" hidden="1" x14ac:dyDescent="0.15">
      <c r="A283" s="7">
        <v>313</v>
      </c>
      <c r="B283" s="6" t="s">
        <v>498</v>
      </c>
      <c r="C283" s="6" t="s">
        <v>115</v>
      </c>
      <c r="D283" s="4" t="s">
        <v>568</v>
      </c>
      <c r="E283" s="4" t="s">
        <v>568</v>
      </c>
      <c r="F283" s="4">
        <v>3</v>
      </c>
      <c r="G283" s="4" t="s">
        <v>603</v>
      </c>
      <c r="H283" s="4" t="s">
        <v>417</v>
      </c>
      <c r="I283" s="4" t="b">
        <v>0</v>
      </c>
      <c r="K283" s="4" t="b">
        <f>IF(COUNTIF($B$2:$B283,B283)&gt;1,TRUE,FALSE)</f>
        <v>0</v>
      </c>
      <c r="L283" t="str">
        <f t="shared" si="39"/>
        <v>p.update({"new_window":{"entitlements":{"type":"yesno","subtype":"yesno","indent":3,"default_value":"no","docs_url":"https://looker.com/docs/r/lookml/types/entitlements/new_window?version=7.14&amp;lookml=new","has_allowed_values":False,"allowed_values":""}}})</v>
      </c>
      <c r="M283" t="str">
        <f t="shared" si="40"/>
        <v>{"new_window":{"entitlements":{"type":"yesno","subtype":"yesno","indent":3,"default_value":"no","docs_url":"https://looker.com/docs/r/lookml/types/entitlements/new_window?version=7.14&amp;lookml=new","has_allowed_values":False,"allowed_values":""}}}</v>
      </c>
      <c r="N283" t="str">
        <f t="shared" si="41"/>
        <v>"type":"yesno",</v>
      </c>
      <c r="O283" t="str">
        <f t="shared" si="42"/>
        <v>"subtype":"yesno",</v>
      </c>
      <c r="P283" t="str">
        <f t="shared" si="43"/>
        <v>"indent":3,</v>
      </c>
      <c r="Q283" t="str">
        <f t="shared" si="47"/>
        <v>"default_value":"no",</v>
      </c>
      <c r="R283" t="str">
        <f t="shared" si="44"/>
        <v>"docs_url":"https://looker.com/docs/r/lookml/types/entitlements/new_window?version=7.14&amp;lookml=new",</v>
      </c>
      <c r="S283" t="str">
        <f t="shared" si="45"/>
        <v>"has_allowed_values":False,</v>
      </c>
      <c r="T283" t="str">
        <f t="shared" si="46"/>
        <v>"allowed_values":""</v>
      </c>
    </row>
    <row r="284" spans="1:20" ht="13" hidden="1" x14ac:dyDescent="0.15">
      <c r="A284" s="7">
        <v>314</v>
      </c>
      <c r="B284" s="6" t="s">
        <v>499</v>
      </c>
      <c r="C284" s="6" t="s">
        <v>115</v>
      </c>
      <c r="D284" s="4" t="s">
        <v>568</v>
      </c>
      <c r="E284" s="4" t="s">
        <v>568</v>
      </c>
      <c r="F284" s="4">
        <v>3</v>
      </c>
      <c r="G284" s="4" t="s">
        <v>603</v>
      </c>
      <c r="H284" s="4" t="s">
        <v>418</v>
      </c>
      <c r="I284" s="4" t="b">
        <v>0</v>
      </c>
      <c r="K284" s="4" t="b">
        <f>IF(COUNTIF($B$2:$B284,B284)&gt;1,TRUE,FALSE)</f>
        <v>0</v>
      </c>
      <c r="L284" t="str">
        <f t="shared" si="39"/>
        <v>p.update({"allow_forms":{"entitlements":{"type":"yesno","subtype":"yesno","indent":3,"default_value":"no","docs_url":"https://looker.com/docs/r/lookml/types/entitlements/allow_forms?version=7.14&amp;lookml=new","has_allowed_values":False,"allowed_values":""}}})</v>
      </c>
      <c r="M284" t="str">
        <f t="shared" si="40"/>
        <v>{"allow_forms":{"entitlements":{"type":"yesno","subtype":"yesno","indent":3,"default_value":"no","docs_url":"https://looker.com/docs/r/lookml/types/entitlements/allow_forms?version=7.14&amp;lookml=new","has_allowed_values":False,"allowed_values":""}}}</v>
      </c>
      <c r="N284" t="str">
        <f t="shared" si="41"/>
        <v>"type":"yesno",</v>
      </c>
      <c r="O284" t="str">
        <f t="shared" si="42"/>
        <v>"subtype":"yesno",</v>
      </c>
      <c r="P284" t="str">
        <f t="shared" si="43"/>
        <v>"indent":3,</v>
      </c>
      <c r="Q284" t="str">
        <f t="shared" si="47"/>
        <v>"default_value":"no",</v>
      </c>
      <c r="R284" t="str">
        <f t="shared" si="44"/>
        <v>"docs_url":"https://looker.com/docs/r/lookml/types/entitlements/allow_forms?version=7.14&amp;lookml=new",</v>
      </c>
      <c r="S284" t="str">
        <f t="shared" si="45"/>
        <v>"has_allowed_values":False,</v>
      </c>
      <c r="T284" t="str">
        <f t="shared" si="46"/>
        <v>"allowed_values":""</v>
      </c>
    </row>
    <row r="285" spans="1:20" ht="13" hidden="1" x14ac:dyDescent="0.15">
      <c r="A285" s="7">
        <v>315</v>
      </c>
      <c r="B285" s="6" t="s">
        <v>500</v>
      </c>
      <c r="C285" s="6" t="s">
        <v>115</v>
      </c>
      <c r="D285" s="4" t="s">
        <v>568</v>
      </c>
      <c r="E285" s="4" t="s">
        <v>568</v>
      </c>
      <c r="F285" s="4">
        <v>3</v>
      </c>
      <c r="G285" s="4" t="s">
        <v>603</v>
      </c>
      <c r="H285" s="4" t="s">
        <v>419</v>
      </c>
      <c r="I285" s="4" t="b">
        <v>0</v>
      </c>
      <c r="K285" s="4" t="b">
        <f>IF(COUNTIF($B$2:$B285,B285)&gt;1,TRUE,FALSE)</f>
        <v>0</v>
      </c>
      <c r="L285" t="str">
        <f t="shared" si="39"/>
        <v>p.update({"allow_same_origin":{"entitlements":{"type":"yesno","subtype":"yesno","indent":3,"default_value":"no","docs_url":"https://looker.com/docs/r/lookml/types/entitlements/allow_same_origin?version=7.14&amp;lookml=new","has_allowed_values":False,"allowed_values":""}}})</v>
      </c>
      <c r="M285" t="str">
        <f t="shared" si="40"/>
        <v>{"allow_same_origin":{"entitlements":{"type":"yesno","subtype":"yesno","indent":3,"default_value":"no","docs_url":"https://looker.com/docs/r/lookml/types/entitlements/allow_same_origin?version=7.14&amp;lookml=new","has_allowed_values":False,"allowed_values":""}}}</v>
      </c>
      <c r="N285" t="str">
        <f t="shared" si="41"/>
        <v>"type":"yesno",</v>
      </c>
      <c r="O285" t="str">
        <f t="shared" si="42"/>
        <v>"subtype":"yesno",</v>
      </c>
      <c r="P285" t="str">
        <f t="shared" si="43"/>
        <v>"indent":3,</v>
      </c>
      <c r="Q285" t="str">
        <f t="shared" si="47"/>
        <v>"default_value":"no",</v>
      </c>
      <c r="R285" t="str">
        <f t="shared" si="44"/>
        <v>"docs_url":"https://looker.com/docs/r/lookml/types/entitlements/allow_same_origin?version=7.14&amp;lookml=new",</v>
      </c>
      <c r="S285" t="str">
        <f t="shared" si="45"/>
        <v>"has_allowed_values":False,</v>
      </c>
      <c r="T285" t="str">
        <f t="shared" si="46"/>
        <v>"allowed_values":""</v>
      </c>
    </row>
    <row r="286" spans="1:20" ht="13" hidden="1" x14ac:dyDescent="0.15">
      <c r="A286" s="7">
        <v>316</v>
      </c>
      <c r="B286" s="6" t="s">
        <v>501</v>
      </c>
      <c r="C286" s="6" t="s">
        <v>115</v>
      </c>
      <c r="D286" s="4" t="s">
        <v>597</v>
      </c>
      <c r="E286" s="4" t="s">
        <v>597</v>
      </c>
      <c r="F286" s="4">
        <v>3</v>
      </c>
      <c r="H286" s="4" t="s">
        <v>420</v>
      </c>
      <c r="I286" s="4" t="b">
        <v>0</v>
      </c>
      <c r="K286" s="4" t="b">
        <f>IF(COUNTIF($B$2:$B286,B286)&gt;1,TRUE,FALSE)</f>
        <v>0</v>
      </c>
      <c r="L286" t="str">
        <f t="shared" si="39"/>
        <v>p.update({"core_api_methods":{"entitlements":{"type":"list_quoted","subtype":"list_quoted","indent":3,"default_value":"","docs_url":"https://looker.com/docs/r/lookml/types/entitlements/core_api_methods?version=7.14&amp;lookml=new","has_allowed_values":False,"allowed_values":""}}})</v>
      </c>
      <c r="M286" t="str">
        <f t="shared" si="40"/>
        <v>{"core_api_methods":{"entitlements":{"type":"list_quoted","subtype":"list_quoted","indent":3,"default_value":"","docs_url":"https://looker.com/docs/r/lookml/types/entitlements/core_api_methods?version=7.14&amp;lookml=new","has_allowed_values":False,"allowed_values":""}}}</v>
      </c>
      <c r="N286" t="str">
        <f t="shared" si="41"/>
        <v>"type":"list_quoted",</v>
      </c>
      <c r="O286" t="str">
        <f t="shared" si="42"/>
        <v>"subtype":"list_quoted",</v>
      </c>
      <c r="P286" t="str">
        <f t="shared" si="43"/>
        <v>"indent":3,</v>
      </c>
      <c r="Q286" t="str">
        <f t="shared" si="47"/>
        <v>"default_value":"",</v>
      </c>
      <c r="R286" t="str">
        <f t="shared" si="44"/>
        <v>"docs_url":"https://looker.com/docs/r/lookml/types/entitlements/core_api_methods?version=7.14&amp;lookml=new",</v>
      </c>
      <c r="S286" t="str">
        <f t="shared" si="45"/>
        <v>"has_allowed_values":False,</v>
      </c>
      <c r="T286" t="str">
        <f t="shared" si="46"/>
        <v>"allowed_values":""</v>
      </c>
    </row>
    <row r="287" spans="1:20" ht="13" hidden="1" x14ac:dyDescent="0.15">
      <c r="A287" s="7">
        <v>317</v>
      </c>
      <c r="B287" s="6" t="s">
        <v>502</v>
      </c>
      <c r="C287" s="6" t="s">
        <v>115</v>
      </c>
      <c r="D287" s="4" t="s">
        <v>597</v>
      </c>
      <c r="E287" s="4" t="s">
        <v>597</v>
      </c>
      <c r="F287" s="4">
        <v>3</v>
      </c>
      <c r="H287" s="4" t="s">
        <v>421</v>
      </c>
      <c r="I287" s="4" t="b">
        <v>0</v>
      </c>
      <c r="K287" s="4" t="b">
        <f>IF(COUNTIF($B$2:$B287,B287)&gt;1,TRUE,FALSE)</f>
        <v>0</v>
      </c>
      <c r="L287" t="str">
        <f t="shared" si="39"/>
        <v>p.update({"external_api_urls":{"entitlements":{"type":"list_quoted","subtype":"list_quoted","indent":3,"default_value":"","docs_url":"https://looker.com/docs/r/lookml/types/entitlements/external_api_urls?version=7.14&amp;lookml=new","has_allowed_values":False,"allowed_values":""}}})</v>
      </c>
      <c r="M287" t="str">
        <f t="shared" si="40"/>
        <v>{"external_api_urls":{"entitlements":{"type":"list_quoted","subtype":"list_quoted","indent":3,"default_value":"","docs_url":"https://looker.com/docs/r/lookml/types/entitlements/external_api_urls?version=7.14&amp;lookml=new","has_allowed_values":False,"allowed_values":""}}}</v>
      </c>
      <c r="N287" t="str">
        <f t="shared" si="41"/>
        <v>"type":"list_quoted",</v>
      </c>
      <c r="O287" t="str">
        <f t="shared" si="42"/>
        <v>"subtype":"list_quoted",</v>
      </c>
      <c r="P287" t="str">
        <f t="shared" si="43"/>
        <v>"indent":3,</v>
      </c>
      <c r="Q287" t="str">
        <f t="shared" si="47"/>
        <v>"default_value":"",</v>
      </c>
      <c r="R287" t="str">
        <f t="shared" si="44"/>
        <v>"docs_url":"https://looker.com/docs/r/lookml/types/entitlements/external_api_urls?version=7.14&amp;lookml=new",</v>
      </c>
      <c r="S287" t="str">
        <f t="shared" si="45"/>
        <v>"has_allowed_values":False,</v>
      </c>
      <c r="T287" t="str">
        <f t="shared" si="46"/>
        <v>"allowed_values":""</v>
      </c>
    </row>
    <row r="288" spans="1:20" ht="13" hidden="1" x14ac:dyDescent="0.15">
      <c r="A288" s="7">
        <v>318</v>
      </c>
      <c r="B288" s="6" t="s">
        <v>503</v>
      </c>
      <c r="C288" s="6" t="s">
        <v>115</v>
      </c>
      <c r="D288" s="4" t="s">
        <v>597</v>
      </c>
      <c r="E288" s="4" t="s">
        <v>597</v>
      </c>
      <c r="F288" s="4">
        <v>3</v>
      </c>
      <c r="H288" s="4" t="s">
        <v>422</v>
      </c>
      <c r="I288" s="4" t="b">
        <v>0</v>
      </c>
      <c r="K288" s="4" t="b">
        <f>IF(COUNTIF($B$2:$B288,B288)&gt;1,TRUE,FALSE)</f>
        <v>0</v>
      </c>
      <c r="L288" t="str">
        <f t="shared" si="39"/>
        <v>p.update({"oauth2_urls":{"entitlements":{"type":"list_quoted","subtype":"list_quoted","indent":3,"default_value":"","docs_url":"https://looker.com/docs/r/lookml/types/entitlements/oauth2_urls?version=7.14&amp;lookml=new","has_allowed_values":False,"allowed_values":""}}})</v>
      </c>
      <c r="M288" t="str">
        <f t="shared" si="40"/>
        <v>{"oauth2_urls":{"entitlements":{"type":"list_quoted","subtype":"list_quoted","indent":3,"default_value":"","docs_url":"https://looker.com/docs/r/lookml/types/entitlements/oauth2_urls?version=7.14&amp;lookml=new","has_allowed_values":False,"allowed_values":""}}}</v>
      </c>
      <c r="N288" t="str">
        <f t="shared" si="41"/>
        <v>"type":"list_quoted",</v>
      </c>
      <c r="O288" t="str">
        <f t="shared" si="42"/>
        <v>"subtype":"list_quoted",</v>
      </c>
      <c r="P288" t="str">
        <f t="shared" si="43"/>
        <v>"indent":3,</v>
      </c>
      <c r="Q288" t="str">
        <f t="shared" si="47"/>
        <v>"default_value":"",</v>
      </c>
      <c r="R288" t="str">
        <f t="shared" si="44"/>
        <v>"docs_url":"https://looker.com/docs/r/lookml/types/entitlements/oauth2_urls?version=7.14&amp;lookml=new",</v>
      </c>
      <c r="S288" t="str">
        <f t="shared" si="45"/>
        <v>"has_allowed_values":False,</v>
      </c>
      <c r="T288" t="str">
        <f t="shared" si="46"/>
        <v>"allowed_values":""</v>
      </c>
    </row>
    <row r="289" spans="1:20" ht="13" hidden="1" x14ac:dyDescent="0.15">
      <c r="A289" s="7">
        <v>319</v>
      </c>
      <c r="B289" s="6" t="s">
        <v>504</v>
      </c>
      <c r="C289" s="6" t="s">
        <v>115</v>
      </c>
      <c r="D289" s="4" t="s">
        <v>597</v>
      </c>
      <c r="E289" s="4" t="s">
        <v>597</v>
      </c>
      <c r="F289" s="4">
        <v>3</v>
      </c>
      <c r="H289" s="4" t="s">
        <v>423</v>
      </c>
      <c r="I289" s="4" t="b">
        <v>0</v>
      </c>
      <c r="K289" s="4" t="b">
        <f>IF(COUNTIF($B$2:$B289,B289)&gt;1,TRUE,FALSE)</f>
        <v>0</v>
      </c>
      <c r="L289" t="str">
        <f t="shared" si="39"/>
        <v>p.update({"global_user_attributes":{"entitlements":{"type":"list_quoted","subtype":"list_quoted","indent":3,"default_value":"","docs_url":"https://looker.com/docs/r/lookml/types/entitlements/global_user_attributes?version=7.14&amp;lookml=new","has_allowed_values":False,"allowed_values":""}}})</v>
      </c>
      <c r="M289" t="str">
        <f t="shared" si="40"/>
        <v>{"global_user_attributes":{"entitlements":{"type":"list_quoted","subtype":"list_quoted","indent":3,"default_value":"","docs_url":"https://looker.com/docs/r/lookml/types/entitlements/global_user_attributes?version=7.14&amp;lookml=new","has_allowed_values":False,"allowed_values":""}}}</v>
      </c>
      <c r="N289" t="str">
        <f t="shared" si="41"/>
        <v>"type":"list_quoted",</v>
      </c>
      <c r="O289" t="str">
        <f t="shared" si="42"/>
        <v>"subtype":"list_quoted",</v>
      </c>
      <c r="P289" t="str">
        <f t="shared" si="43"/>
        <v>"indent":3,</v>
      </c>
      <c r="Q289" t="str">
        <f t="shared" si="47"/>
        <v>"default_value":"",</v>
      </c>
      <c r="R289" t="str">
        <f t="shared" si="44"/>
        <v>"docs_url":"https://looker.com/docs/r/lookml/types/entitlements/global_user_attributes?version=7.14&amp;lookml=new",</v>
      </c>
      <c r="S289" t="str">
        <f t="shared" si="45"/>
        <v>"has_allowed_values":False,</v>
      </c>
      <c r="T289" t="str">
        <f t="shared" si="46"/>
        <v>"allowed_values":""</v>
      </c>
    </row>
    <row r="290" spans="1:20" ht="13" hidden="1" x14ac:dyDescent="0.15">
      <c r="A290" s="7">
        <v>320</v>
      </c>
      <c r="B290" s="6" t="s">
        <v>505</v>
      </c>
      <c r="C290" s="6" t="s">
        <v>115</v>
      </c>
      <c r="D290" s="4" t="s">
        <v>597</v>
      </c>
      <c r="E290" s="4" t="s">
        <v>597</v>
      </c>
      <c r="F290" s="4">
        <v>3</v>
      </c>
      <c r="H290" s="4" t="s">
        <v>424</v>
      </c>
      <c r="I290" s="4" t="b">
        <v>0</v>
      </c>
      <c r="K290" s="4" t="b">
        <f>IF(COUNTIF($B$2:$B290,B290)&gt;1,TRUE,FALSE)</f>
        <v>0</v>
      </c>
      <c r="L290" t="str">
        <f t="shared" si="39"/>
        <v>p.update({"scoped_user_attributes":{"entitlements":{"type":"list_quoted","subtype":"list_quoted","indent":3,"default_value":"","docs_url":"https://looker.com/docs/r/lookml/types/entitlements/scoped_user_attributes?version=7.14&amp;lookml=new","has_allowed_values":False,"allowed_values":""}}})</v>
      </c>
      <c r="M290" t="str">
        <f t="shared" si="40"/>
        <v>{"scoped_user_attributes":{"entitlements":{"type":"list_quoted","subtype":"list_quoted","indent":3,"default_value":"","docs_url":"https://looker.com/docs/r/lookml/types/entitlements/scoped_user_attributes?version=7.14&amp;lookml=new","has_allowed_values":False,"allowed_values":""}}}</v>
      </c>
      <c r="N290" t="str">
        <f t="shared" si="41"/>
        <v>"type":"list_quoted",</v>
      </c>
      <c r="O290" t="str">
        <f t="shared" si="42"/>
        <v>"subtype":"list_quoted",</v>
      </c>
      <c r="P290" t="str">
        <f t="shared" si="43"/>
        <v>"indent":3,</v>
      </c>
      <c r="Q290" t="str">
        <f t="shared" si="47"/>
        <v>"default_value":"",</v>
      </c>
      <c r="R290" t="str">
        <f t="shared" si="44"/>
        <v>"docs_url":"https://looker.com/docs/r/lookml/types/entitlements/scoped_user_attributes?version=7.14&amp;lookml=new",</v>
      </c>
      <c r="S290" t="str">
        <f t="shared" si="45"/>
        <v>"has_allowed_values":False,</v>
      </c>
      <c r="T290" t="str">
        <f t="shared" si="46"/>
        <v>"allowed_values":""</v>
      </c>
    </row>
    <row r="291" spans="1:20" ht="13" hidden="1" x14ac:dyDescent="0.15">
      <c r="A291" s="7">
        <v>323</v>
      </c>
      <c r="B291" s="6" t="s">
        <v>506</v>
      </c>
      <c r="C291" s="6" t="s">
        <v>127</v>
      </c>
      <c r="D291" s="4" t="s">
        <v>0</v>
      </c>
      <c r="E291" s="4" t="s">
        <v>0</v>
      </c>
      <c r="F291" s="4">
        <v>1</v>
      </c>
      <c r="G291" s="4" t="s">
        <v>591</v>
      </c>
      <c r="H291" s="4" t="s">
        <v>425</v>
      </c>
      <c r="I291" s="4" t="b">
        <v>0</v>
      </c>
      <c r="K291" s="4" t="b">
        <f>IF(COUNTIF($B$2:$B291,B291)&gt;1,TRUE,FALSE)</f>
        <v>0</v>
      </c>
      <c r="L291" t="str">
        <f t="shared" si="39"/>
        <v>p.update({"id":{"visualization":{"type":"string","subtype":"string","indent":1,"default_value":"","docs_url":"https://looker.com/docs/r/lookml/types/visualization/id?version=7.14&amp;lookml=new","has_allowed_values":False,"allowed_values":""}}})</v>
      </c>
      <c r="M291" t="str">
        <f t="shared" si="40"/>
        <v>{"id":{"visualization":{"type":"string","subtype":"string","indent":1,"default_value":"","docs_url":"https://looker.com/docs/r/lookml/types/visualization/id?version=7.14&amp;lookml=new","has_allowed_values":False,"allowed_values":""}}}</v>
      </c>
      <c r="N291" t="str">
        <f t="shared" si="41"/>
        <v>"type":"string",</v>
      </c>
      <c r="O291" t="str">
        <f t="shared" si="42"/>
        <v>"subtype":"string",</v>
      </c>
      <c r="P291" t="str">
        <f t="shared" si="43"/>
        <v>"indent":1,</v>
      </c>
      <c r="Q291" t="str">
        <f t="shared" si="47"/>
        <v>"default_value":"",</v>
      </c>
      <c r="R291" t="str">
        <f t="shared" si="44"/>
        <v>"docs_url":"https://looker.com/docs/r/lookml/types/visualization/id?version=7.14&amp;lookml=new",</v>
      </c>
      <c r="S291" t="str">
        <f t="shared" si="45"/>
        <v>"has_allowed_values":False,</v>
      </c>
      <c r="T291" t="str">
        <f t="shared" si="46"/>
        <v>"allowed_values":""</v>
      </c>
    </row>
    <row r="292" spans="1:20" ht="13" hidden="1" x14ac:dyDescent="0.15">
      <c r="A292" s="7">
        <v>324</v>
      </c>
      <c r="B292" s="6" t="s">
        <v>23</v>
      </c>
      <c r="C292" s="6" t="s">
        <v>127</v>
      </c>
      <c r="D292" s="4" t="s">
        <v>29</v>
      </c>
      <c r="E292" s="4" t="s">
        <v>0</v>
      </c>
      <c r="F292" s="4">
        <v>1</v>
      </c>
      <c r="G292" s="4" t="s">
        <v>591</v>
      </c>
      <c r="H292" s="4" t="s">
        <v>426</v>
      </c>
      <c r="I292" s="4" t="b">
        <v>0</v>
      </c>
      <c r="K292" s="4" t="b">
        <f>IF(COUNTIF($B$2:$B292,B292)&gt;1,TRUE,FALSE)</f>
        <v>1</v>
      </c>
      <c r="L292" t="str">
        <f t="shared" si="39"/>
        <v>p["label"].update({"visualization":{"type":"string","subtype":"possibly-localized-string","indent":1,"default_value":"","docs_url":"https://looker.com/docs/r/lookml/types/visualization/label?version=7.14&amp;lookml=new","has_allowed_values":False,"allowed_values":""}})</v>
      </c>
      <c r="M292" t="str">
        <f t="shared" si="40"/>
        <v>{"label":{"visualization":{"type":"string","subtype":"possibly-localized-string","indent":1,"default_value":"","docs_url":"https://looker.com/docs/r/lookml/types/visualization/label?version=7.14&amp;lookml=new","has_allowed_values":False,"allowed_values":""}}}</v>
      </c>
      <c r="N292" t="str">
        <f t="shared" si="41"/>
        <v>"type":"string",</v>
      </c>
      <c r="O292" t="str">
        <f t="shared" si="42"/>
        <v>"subtype":"possibly-localized-string",</v>
      </c>
      <c r="P292" t="str">
        <f t="shared" si="43"/>
        <v>"indent":1,</v>
      </c>
      <c r="Q292" t="str">
        <f t="shared" si="47"/>
        <v>"default_value":"",</v>
      </c>
      <c r="R292" t="str">
        <f t="shared" si="44"/>
        <v>"docs_url":"https://looker.com/docs/r/lookml/types/visualization/label?version=7.14&amp;lookml=new",</v>
      </c>
      <c r="S292" t="str">
        <f t="shared" si="45"/>
        <v>"has_allowed_values":False,</v>
      </c>
      <c r="T292" t="str">
        <f t="shared" si="46"/>
        <v>"allowed_values":""</v>
      </c>
    </row>
    <row r="293" spans="1:20" ht="13" hidden="1" x14ac:dyDescent="0.15">
      <c r="A293" s="7">
        <v>325</v>
      </c>
      <c r="B293" s="6" t="s">
        <v>494</v>
      </c>
      <c r="C293" s="6" t="s">
        <v>127</v>
      </c>
      <c r="D293" s="4" t="s">
        <v>0</v>
      </c>
      <c r="E293" s="4" t="s">
        <v>0</v>
      </c>
      <c r="F293" s="4">
        <v>1</v>
      </c>
      <c r="G293" s="4" t="s">
        <v>591</v>
      </c>
      <c r="H293" s="4" t="s">
        <v>427</v>
      </c>
      <c r="I293" s="4" t="b">
        <v>0</v>
      </c>
      <c r="K293" s="4" t="b">
        <f>IF(COUNTIF($B$2:$B293,B293)&gt;1,TRUE,FALSE)</f>
        <v>1</v>
      </c>
      <c r="L293" t="str">
        <f t="shared" si="39"/>
        <v>p["url"].update({"visualization":{"type":"string","subtype":"string","indent":1,"default_value":"","docs_url":"https://looker.com/docs/r/lookml/types/visualization/url?version=7.14&amp;lookml=new","has_allowed_values":False,"allowed_values":""}})</v>
      </c>
      <c r="M293" t="str">
        <f t="shared" si="40"/>
        <v>{"url":{"visualization":{"type":"string","subtype":"string","indent":1,"default_value":"","docs_url":"https://looker.com/docs/r/lookml/types/visualization/url?version=7.14&amp;lookml=new","has_allowed_values":False,"allowed_values":""}}}</v>
      </c>
      <c r="N293" t="str">
        <f t="shared" si="41"/>
        <v>"type":"string",</v>
      </c>
      <c r="O293" t="str">
        <f t="shared" si="42"/>
        <v>"subtype":"string",</v>
      </c>
      <c r="P293" t="str">
        <f t="shared" si="43"/>
        <v>"indent":1,</v>
      </c>
      <c r="Q293" t="str">
        <f t="shared" si="47"/>
        <v>"default_value":"",</v>
      </c>
      <c r="R293" t="str">
        <f t="shared" si="44"/>
        <v>"docs_url":"https://looker.com/docs/r/lookml/types/visualization/url?version=7.14&amp;lookml=new",</v>
      </c>
      <c r="S293" t="str">
        <f t="shared" si="45"/>
        <v>"has_allowed_values":False,</v>
      </c>
      <c r="T293" t="str">
        <f t="shared" si="46"/>
        <v>"allowed_values":""</v>
      </c>
    </row>
    <row r="294" spans="1:20" ht="13" hidden="1" x14ac:dyDescent="0.15">
      <c r="A294" s="7">
        <v>326</v>
      </c>
      <c r="B294" s="6" t="s">
        <v>507</v>
      </c>
      <c r="C294" s="6" t="s">
        <v>127</v>
      </c>
      <c r="D294" s="4" t="s">
        <v>0</v>
      </c>
      <c r="E294" s="4" t="s">
        <v>0</v>
      </c>
      <c r="F294" s="4">
        <v>1</v>
      </c>
      <c r="G294" s="4" t="s">
        <v>591</v>
      </c>
      <c r="H294" s="4" t="s">
        <v>428</v>
      </c>
      <c r="I294" s="4" t="b">
        <v>0</v>
      </c>
      <c r="K294" s="4" t="b">
        <f>IF(COUNTIF($B$2:$B294,B294)&gt;1,TRUE,FALSE)</f>
        <v>0</v>
      </c>
      <c r="L294" t="str">
        <f t="shared" si="39"/>
        <v>p.update({"sri_hash":{"visualization":{"type":"string","subtype":"string","indent":1,"default_value":"","docs_url":"https://looker.com/docs/r/lookml/types/visualization/sri_hash?version=7.14&amp;lookml=new","has_allowed_values":False,"allowed_values":""}}})</v>
      </c>
      <c r="M294" t="str">
        <f t="shared" si="40"/>
        <v>{"sri_hash":{"visualization":{"type":"string","subtype":"string","indent":1,"default_value":"","docs_url":"https://looker.com/docs/r/lookml/types/visualization/sri_hash?version=7.14&amp;lookml=new","has_allowed_values":False,"allowed_values":""}}}</v>
      </c>
      <c r="N294" t="str">
        <f t="shared" si="41"/>
        <v>"type":"string",</v>
      </c>
      <c r="O294" t="str">
        <f t="shared" si="42"/>
        <v>"subtype":"string",</v>
      </c>
      <c r="P294" t="str">
        <f t="shared" si="43"/>
        <v>"indent":1,</v>
      </c>
      <c r="Q294" t="str">
        <f t="shared" si="47"/>
        <v>"default_value":"",</v>
      </c>
      <c r="R294" t="str">
        <f t="shared" si="44"/>
        <v>"docs_url":"https://looker.com/docs/r/lookml/types/visualization/sri_hash?version=7.14&amp;lookml=new",</v>
      </c>
      <c r="S294" t="str">
        <f t="shared" si="45"/>
        <v>"has_allowed_values":False,</v>
      </c>
      <c r="T294" t="str">
        <f t="shared" si="46"/>
        <v>"allowed_values":""</v>
      </c>
    </row>
    <row r="295" spans="1:20" ht="13" hidden="1" x14ac:dyDescent="0.15">
      <c r="A295" s="7">
        <v>327</v>
      </c>
      <c r="B295" s="6" t="s">
        <v>508</v>
      </c>
      <c r="C295" s="6" t="s">
        <v>127</v>
      </c>
      <c r="D295" s="4" t="s">
        <v>597</v>
      </c>
      <c r="E295" s="4" t="s">
        <v>597</v>
      </c>
      <c r="F295" s="4">
        <v>1</v>
      </c>
      <c r="H295" s="4" t="s">
        <v>429</v>
      </c>
      <c r="I295" s="4" t="b">
        <v>0</v>
      </c>
      <c r="K295" s="4" t="b">
        <f>IF(COUNTIF($B$2:$B295,B295)&gt;1,TRUE,FALSE)</f>
        <v>0</v>
      </c>
      <c r="L295" t="str">
        <f t="shared" si="39"/>
        <v>p.update({"dependencies":{"visualization":{"type":"list_quoted","subtype":"list_quoted","indent":1,"default_value":"","docs_url":"https://looker.com/docs/r/lookml/types/visualization/dependencies?version=7.14&amp;lookml=new","has_allowed_values":False,"allowed_values":""}}})</v>
      </c>
      <c r="M295" t="str">
        <f t="shared" si="40"/>
        <v>{"dependencies":{"visualization":{"type":"list_quoted","subtype":"list_quoted","indent":1,"default_value":"","docs_url":"https://looker.com/docs/r/lookml/types/visualization/dependencies?version=7.14&amp;lookml=new","has_allowed_values":False,"allowed_values":""}}}</v>
      </c>
      <c r="N295" t="str">
        <f t="shared" si="41"/>
        <v>"type":"list_quoted",</v>
      </c>
      <c r="O295" t="str">
        <f t="shared" si="42"/>
        <v>"subtype":"list_quoted",</v>
      </c>
      <c r="P295" t="str">
        <f t="shared" si="43"/>
        <v>"indent":1,</v>
      </c>
      <c r="Q295" t="str">
        <f t="shared" si="47"/>
        <v>"default_value":"",</v>
      </c>
      <c r="R295" t="str">
        <f t="shared" si="44"/>
        <v>"docs_url":"https://looker.com/docs/r/lookml/types/visualization/dependencies?version=7.14&amp;lookml=new",</v>
      </c>
      <c r="S295" t="str">
        <f t="shared" si="45"/>
        <v>"has_allowed_values":False,</v>
      </c>
      <c r="T295" t="str">
        <f t="shared" si="46"/>
        <v>"allowed_values":""</v>
      </c>
    </row>
    <row r="296" spans="1:20" ht="13" hidden="1" x14ac:dyDescent="0.15">
      <c r="A296" s="7">
        <v>328</v>
      </c>
      <c r="B296" s="6" t="s">
        <v>495</v>
      </c>
      <c r="C296" s="6" t="s">
        <v>127</v>
      </c>
      <c r="D296" s="4" t="s">
        <v>0</v>
      </c>
      <c r="E296" s="4" t="s">
        <v>0</v>
      </c>
      <c r="F296" s="4">
        <v>1</v>
      </c>
      <c r="G296" s="4" t="s">
        <v>591</v>
      </c>
      <c r="H296" s="4" t="s">
        <v>430</v>
      </c>
      <c r="I296" s="4" t="b">
        <v>0</v>
      </c>
      <c r="K296" s="4" t="b">
        <f>IF(COUNTIF($B$2:$B296,B296)&gt;1,TRUE,FALSE)</f>
        <v>1</v>
      </c>
      <c r="L296" t="str">
        <f t="shared" si="39"/>
        <v>p["file"].update({"visualization":{"type":"string","subtype":"string","indent":1,"default_value":"","docs_url":"https://looker.com/docs/r/lookml/types/visualization/file?version=7.14&amp;lookml=new","has_allowed_values":False,"allowed_values":""}})</v>
      </c>
      <c r="M296" t="str">
        <f t="shared" si="40"/>
        <v>{"file":{"visualization":{"type":"string","subtype":"string","indent":1,"default_value":"","docs_url":"https://looker.com/docs/r/lookml/types/visualization/file?version=7.14&amp;lookml=new","has_allowed_values":False,"allowed_values":""}}}</v>
      </c>
      <c r="N296" t="str">
        <f t="shared" si="41"/>
        <v>"type":"string",</v>
      </c>
      <c r="O296" t="str">
        <f t="shared" si="42"/>
        <v>"subtype":"string",</v>
      </c>
      <c r="P296" t="str">
        <f t="shared" si="43"/>
        <v>"indent":1,</v>
      </c>
      <c r="Q296" t="str">
        <f t="shared" si="47"/>
        <v>"default_value":"",</v>
      </c>
      <c r="R296" t="str">
        <f t="shared" si="44"/>
        <v>"docs_url":"https://looker.com/docs/r/lookml/types/visualization/file?version=7.14&amp;lookml=new",</v>
      </c>
      <c r="S296" t="str">
        <f t="shared" si="45"/>
        <v>"has_allowed_values":False,</v>
      </c>
      <c r="T296" t="str">
        <f t="shared" si="46"/>
        <v>"allowed_values":""</v>
      </c>
    </row>
    <row r="297" spans="1:20" ht="13" hidden="1" x14ac:dyDescent="0.15">
      <c r="A297" s="7">
        <v>331</v>
      </c>
      <c r="B297" s="6" t="s">
        <v>23</v>
      </c>
      <c r="C297" s="6" t="s">
        <v>1</v>
      </c>
      <c r="D297" s="4" t="s">
        <v>29</v>
      </c>
      <c r="E297" s="4" t="s">
        <v>0</v>
      </c>
      <c r="F297" s="4">
        <v>3</v>
      </c>
      <c r="G297" s="4" t="s">
        <v>591</v>
      </c>
      <c r="H297" s="4" t="s">
        <v>431</v>
      </c>
      <c r="I297" s="4" t="b">
        <v>0</v>
      </c>
      <c r="K297" s="4" t="b">
        <f>IF(COUNTIF($B$2:$B297,B297)&gt;1,TRUE,FALSE)</f>
        <v>1</v>
      </c>
      <c r="L297" t="str">
        <f t="shared" si="39"/>
        <v>p["label"].update({"action":{"type":"string","subtype":"possibly-localized-string","indent":3,"default_value":"","docs_url":"https://looker.com/docs/r/lookml/types/action/label?version=7.14&amp;lookml=new","has_allowed_values":False,"allowed_values":""}})</v>
      </c>
      <c r="M297" t="str">
        <f t="shared" si="40"/>
        <v>{"label":{"action":{"type":"string","subtype":"possibly-localized-string","indent":3,"default_value":"","docs_url":"https://looker.com/docs/r/lookml/types/action/label?version=7.14&amp;lookml=new","has_allowed_values":False,"allowed_values":""}}}</v>
      </c>
      <c r="N297" t="str">
        <f t="shared" si="41"/>
        <v>"type":"string",</v>
      </c>
      <c r="O297" t="str">
        <f t="shared" si="42"/>
        <v>"subtype":"possibly-localized-string",</v>
      </c>
      <c r="P297" t="str">
        <f t="shared" si="43"/>
        <v>"indent":3,</v>
      </c>
      <c r="Q297" t="str">
        <f t="shared" si="47"/>
        <v>"default_value":"",</v>
      </c>
      <c r="R297" t="str">
        <f t="shared" si="44"/>
        <v>"docs_url":"https://looker.com/docs/r/lookml/types/action/label?version=7.14&amp;lookml=new",</v>
      </c>
      <c r="S297" t="str">
        <f t="shared" si="45"/>
        <v>"has_allowed_values":False,</v>
      </c>
      <c r="T297" t="str">
        <f t="shared" si="46"/>
        <v>"allowed_values":""</v>
      </c>
    </row>
    <row r="298" spans="1:20" ht="13" hidden="1" x14ac:dyDescent="0.15">
      <c r="A298" s="7">
        <v>332</v>
      </c>
      <c r="B298" s="6" t="s">
        <v>494</v>
      </c>
      <c r="C298" s="6" t="s">
        <v>1</v>
      </c>
      <c r="D298" s="4" t="s">
        <v>0</v>
      </c>
      <c r="E298" s="4" t="s">
        <v>0</v>
      </c>
      <c r="F298" s="4">
        <v>3</v>
      </c>
      <c r="G298" s="4" t="s">
        <v>591</v>
      </c>
      <c r="H298" s="4" t="s">
        <v>432</v>
      </c>
      <c r="I298" s="4" t="b">
        <v>0</v>
      </c>
      <c r="K298" s="4" t="b">
        <f>IF(COUNTIF($B$2:$B298,B298)&gt;1,TRUE,FALSE)</f>
        <v>1</v>
      </c>
      <c r="L298" t="str">
        <f t="shared" si="39"/>
        <v>p["url"].update({"action":{"type":"string","subtype":"string","indent":3,"default_value":"","docs_url":"https://looker.com/docs/r/lookml/types/action/url?version=7.14&amp;lookml=new","has_allowed_values":False,"allowed_values":""}})</v>
      </c>
      <c r="M298" t="str">
        <f t="shared" si="40"/>
        <v>{"url":{"action":{"type":"string","subtype":"string","indent":3,"default_value":"","docs_url":"https://looker.com/docs/r/lookml/types/action/url?version=7.14&amp;lookml=new","has_allowed_values":False,"allowed_values":""}}}</v>
      </c>
      <c r="N298" t="str">
        <f t="shared" si="41"/>
        <v>"type":"string",</v>
      </c>
      <c r="O298" t="str">
        <f t="shared" si="42"/>
        <v>"subtype":"string",</v>
      </c>
      <c r="P298" t="str">
        <f t="shared" si="43"/>
        <v>"indent":3,</v>
      </c>
      <c r="Q298" t="str">
        <f t="shared" si="47"/>
        <v>"default_value":"",</v>
      </c>
      <c r="R298" t="str">
        <f t="shared" si="44"/>
        <v>"docs_url":"https://looker.com/docs/r/lookml/types/action/url?version=7.14&amp;lookml=new",</v>
      </c>
      <c r="S298" t="str">
        <f t="shared" si="45"/>
        <v>"has_allowed_values":False,</v>
      </c>
      <c r="T298" t="str">
        <f t="shared" si="46"/>
        <v>"allowed_values":""</v>
      </c>
    </row>
    <row r="299" spans="1:20" ht="13" hidden="1" x14ac:dyDescent="0.15">
      <c r="A299" s="7">
        <v>333</v>
      </c>
      <c r="B299" s="6" t="s">
        <v>509</v>
      </c>
      <c r="C299" s="6" t="s">
        <v>1</v>
      </c>
      <c r="D299" s="4" t="s">
        <v>0</v>
      </c>
      <c r="E299" s="4" t="s">
        <v>0</v>
      </c>
      <c r="F299" s="4">
        <v>3</v>
      </c>
      <c r="G299" s="4" t="s">
        <v>591</v>
      </c>
      <c r="H299" s="4" t="s">
        <v>433</v>
      </c>
      <c r="I299" s="4" t="b">
        <v>0</v>
      </c>
      <c r="K299" s="4" t="b">
        <f>IF(COUNTIF($B$2:$B299,B299)&gt;1,TRUE,FALSE)</f>
        <v>0</v>
      </c>
      <c r="L299" t="str">
        <f t="shared" si="39"/>
        <v>p.update({"icon_url":{"action":{"type":"string","subtype":"string","indent":3,"default_value":"","docs_url":"https://looker.com/docs/r/lookml/types/action/icon_url?version=7.14&amp;lookml=new","has_allowed_values":False,"allowed_values":""}}})</v>
      </c>
      <c r="M299" t="str">
        <f t="shared" si="40"/>
        <v>{"icon_url":{"action":{"type":"string","subtype":"string","indent":3,"default_value":"","docs_url":"https://looker.com/docs/r/lookml/types/action/icon_url?version=7.14&amp;lookml=new","has_allowed_values":False,"allowed_values":""}}}</v>
      </c>
      <c r="N299" t="str">
        <f t="shared" si="41"/>
        <v>"type":"string",</v>
      </c>
      <c r="O299" t="str">
        <f t="shared" si="42"/>
        <v>"subtype":"string",</v>
      </c>
      <c r="P299" t="str">
        <f t="shared" si="43"/>
        <v>"indent":3,</v>
      </c>
      <c r="Q299" t="str">
        <f t="shared" si="47"/>
        <v>"default_value":"",</v>
      </c>
      <c r="R299" t="str">
        <f t="shared" si="44"/>
        <v>"docs_url":"https://looker.com/docs/r/lookml/types/action/icon_url?version=7.14&amp;lookml=new",</v>
      </c>
      <c r="S299" t="str">
        <f t="shared" si="45"/>
        <v>"has_allowed_values":False,</v>
      </c>
      <c r="T299" t="str">
        <f t="shared" si="46"/>
        <v>"allowed_values":""</v>
      </c>
    </row>
    <row r="300" spans="1:20" ht="13" hidden="1" x14ac:dyDescent="0.15">
      <c r="A300" s="7">
        <v>334</v>
      </c>
      <c r="B300" s="6" t="s">
        <v>510</v>
      </c>
      <c r="C300" s="6" t="s">
        <v>1</v>
      </c>
      <c r="D300" s="4" t="s">
        <v>0</v>
      </c>
      <c r="E300" s="4" t="s">
        <v>0</v>
      </c>
      <c r="F300" s="4">
        <v>3</v>
      </c>
      <c r="G300" s="4" t="s">
        <v>591</v>
      </c>
      <c r="H300" s="4" t="s">
        <v>434</v>
      </c>
      <c r="I300" s="4" t="b">
        <v>0</v>
      </c>
      <c r="K300" s="4" t="b">
        <f>IF(COUNTIF($B$2:$B300,B300)&gt;1,TRUE,FALSE)</f>
        <v>0</v>
      </c>
      <c r="L300" t="str">
        <f t="shared" si="39"/>
        <v>p.update({"form_url":{"action":{"type":"string","subtype":"string","indent":3,"default_value":"","docs_url":"https://looker.com/docs/r/lookml/types/action/form_url?version=7.14&amp;lookml=new","has_allowed_values":False,"allowed_values":""}}})</v>
      </c>
      <c r="M300" t="str">
        <f t="shared" si="40"/>
        <v>{"form_url":{"action":{"type":"string","subtype":"string","indent":3,"default_value":"","docs_url":"https://looker.com/docs/r/lookml/types/action/form_url?version=7.14&amp;lookml=new","has_allowed_values":False,"allowed_values":""}}}</v>
      </c>
      <c r="N300" t="str">
        <f t="shared" si="41"/>
        <v>"type":"string",</v>
      </c>
      <c r="O300" t="str">
        <f t="shared" si="42"/>
        <v>"subtype":"string",</v>
      </c>
      <c r="P300" t="str">
        <f t="shared" si="43"/>
        <v>"indent":3,</v>
      </c>
      <c r="Q300" t="str">
        <f t="shared" si="47"/>
        <v>"default_value":"",</v>
      </c>
      <c r="R300" t="str">
        <f t="shared" si="44"/>
        <v>"docs_url":"https://looker.com/docs/r/lookml/types/action/form_url?version=7.14&amp;lookml=new",</v>
      </c>
      <c r="S300" t="str">
        <f t="shared" si="45"/>
        <v>"has_allowed_values":False,</v>
      </c>
      <c r="T300" t="str">
        <f t="shared" si="46"/>
        <v>"allowed_values":""</v>
      </c>
    </row>
    <row r="301" spans="1:20" ht="13" hidden="1" x14ac:dyDescent="0.15">
      <c r="A301" s="7">
        <v>335</v>
      </c>
      <c r="B301" s="6" t="s">
        <v>511</v>
      </c>
      <c r="C301" s="6" t="s">
        <v>1</v>
      </c>
      <c r="D301" s="4" t="s">
        <v>539</v>
      </c>
      <c r="E301" s="4" t="s">
        <v>539</v>
      </c>
      <c r="F301" s="4">
        <v>3</v>
      </c>
      <c r="H301" s="10" t="s">
        <v>435</v>
      </c>
      <c r="I301" s="4" t="b">
        <v>0</v>
      </c>
      <c r="K301" s="4" t="b">
        <f>IF(COUNTIF($B$2:$B301,B301)&gt;1,TRUE,FALSE)</f>
        <v>0</v>
      </c>
      <c r="L301" t="str">
        <f t="shared" si="39"/>
        <v>p.update({"param":{"action":{"type":"anonymous_construct","subtype":"anonymous_construct","indent":3,"default_value":"","docs_url":"https://looker.com/docs/r/lookml/types/action/param?version=7.14&amp;lookml=new","has_allowed_values":False,"allowed_values":""}}})</v>
      </c>
      <c r="M301" t="str">
        <f t="shared" si="40"/>
        <v>{"param":{"action":{"type":"anonymous_construct","subtype":"anonymous_construct","indent":3,"default_value":"","docs_url":"https://looker.com/docs/r/lookml/types/action/param?version=7.14&amp;lookml=new","has_allowed_values":False,"allowed_values":""}}}</v>
      </c>
      <c r="N301" t="str">
        <f t="shared" si="41"/>
        <v>"type":"anonymous_construct",</v>
      </c>
      <c r="O301" t="str">
        <f t="shared" si="42"/>
        <v>"subtype":"anonymous_construct",</v>
      </c>
      <c r="P301" t="str">
        <f t="shared" si="43"/>
        <v>"indent":3,</v>
      </c>
      <c r="Q301" t="str">
        <f t="shared" si="47"/>
        <v>"default_value":"",</v>
      </c>
      <c r="R301" t="str">
        <f t="shared" si="44"/>
        <v>"docs_url":"https://looker.com/docs/r/lookml/types/action/param?version=7.14&amp;lookml=new",</v>
      </c>
      <c r="S301" t="str">
        <f t="shared" si="45"/>
        <v>"has_allowed_values":False,</v>
      </c>
      <c r="T301" t="str">
        <f t="shared" si="46"/>
        <v>"allowed_values":""</v>
      </c>
    </row>
    <row r="302" spans="1:20" ht="13" hidden="1" x14ac:dyDescent="0.15">
      <c r="A302" s="7">
        <v>336</v>
      </c>
      <c r="B302" s="6" t="s">
        <v>512</v>
      </c>
      <c r="C302" s="6" t="s">
        <v>1</v>
      </c>
      <c r="D302" s="4" t="s">
        <v>540</v>
      </c>
      <c r="E302" s="4" t="s">
        <v>540</v>
      </c>
      <c r="F302" s="4">
        <v>3</v>
      </c>
      <c r="H302" s="4" t="s">
        <v>436</v>
      </c>
      <c r="I302" s="4" t="b">
        <v>0</v>
      </c>
      <c r="K302" s="4" t="b">
        <f>IF(COUNTIF($B$2:$B302,B302)&gt;1,TRUE,FALSE)</f>
        <v>0</v>
      </c>
      <c r="L302" t="str">
        <f t="shared" si="39"/>
        <v>p.update({"form_param":{"action":{"type":"anonymous_construct_plural","subtype":"anonymous_construct_plural","indent":3,"default_value":"","docs_url":"https://looker.com/docs/r/lookml/types/action/form_param?version=7.14&amp;lookml=new","has_allowed_values":False,"allowed_values":""}}})</v>
      </c>
      <c r="M302" t="str">
        <f t="shared" si="40"/>
        <v>{"form_param":{"action":{"type":"anonymous_construct_plural","subtype":"anonymous_construct_plural","indent":3,"default_value":"","docs_url":"https://looker.com/docs/r/lookml/types/action/form_param?version=7.14&amp;lookml=new","has_allowed_values":False,"allowed_values":""}}}</v>
      </c>
      <c r="N302" t="str">
        <f t="shared" si="41"/>
        <v>"type":"anonymous_construct_plural",</v>
      </c>
      <c r="O302" t="str">
        <f t="shared" si="42"/>
        <v>"subtype":"anonymous_construct_plural",</v>
      </c>
      <c r="P302" t="str">
        <f t="shared" si="43"/>
        <v>"indent":3,</v>
      </c>
      <c r="Q302" t="str">
        <f t="shared" si="47"/>
        <v>"default_value":"",</v>
      </c>
      <c r="R302" t="str">
        <f t="shared" si="44"/>
        <v>"docs_url":"https://looker.com/docs/r/lookml/types/action/form_param?version=7.14&amp;lookml=new",</v>
      </c>
      <c r="S302" t="str">
        <f t="shared" si="45"/>
        <v>"has_allowed_values":False,</v>
      </c>
      <c r="T302" t="str">
        <f t="shared" si="46"/>
        <v>"allowed_values":""</v>
      </c>
    </row>
    <row r="303" spans="1:20" ht="13" hidden="1" x14ac:dyDescent="0.15">
      <c r="A303" s="7">
        <v>337</v>
      </c>
      <c r="B303" s="6" t="s">
        <v>513</v>
      </c>
      <c r="C303" s="6" t="s">
        <v>1</v>
      </c>
      <c r="D303" s="4" t="s">
        <v>539</v>
      </c>
      <c r="E303" s="4" t="s">
        <v>539</v>
      </c>
      <c r="F303" s="4">
        <v>3</v>
      </c>
      <c r="H303" s="4" t="s">
        <v>437</v>
      </c>
      <c r="I303" s="4" t="b">
        <v>0</v>
      </c>
      <c r="K303" s="4" t="b">
        <f>IF(COUNTIF($B$2:$B303,B303)&gt;1,TRUE,FALSE)</f>
        <v>0</v>
      </c>
      <c r="L303" t="str">
        <f t="shared" si="39"/>
        <v>p.update({"user_attribute_param":{"action":{"type":"anonymous_construct","subtype":"anonymous_construct","indent":3,"default_value":"","docs_url":"https://looker.com/docs/r/lookml/types/action/user_attribute_param?version=7.14&amp;lookml=new","has_allowed_values":False,"allowed_values":""}}})</v>
      </c>
      <c r="M303" t="str">
        <f t="shared" si="40"/>
        <v>{"user_attribute_param":{"action":{"type":"anonymous_construct","subtype":"anonymous_construct","indent":3,"default_value":"","docs_url":"https://looker.com/docs/r/lookml/types/action/user_attribute_param?version=7.14&amp;lookml=new","has_allowed_values":False,"allowed_values":""}}}</v>
      </c>
      <c r="N303" t="str">
        <f t="shared" si="41"/>
        <v>"type":"anonymous_construct",</v>
      </c>
      <c r="O303" t="str">
        <f t="shared" si="42"/>
        <v>"subtype":"anonymous_construct",</v>
      </c>
      <c r="P303" t="str">
        <f t="shared" si="43"/>
        <v>"indent":3,</v>
      </c>
      <c r="Q303" t="str">
        <f t="shared" si="47"/>
        <v>"default_value":"",</v>
      </c>
      <c r="R303" t="str">
        <f t="shared" si="44"/>
        <v>"docs_url":"https://looker.com/docs/r/lookml/types/action/user_attribute_param?version=7.14&amp;lookml=new",</v>
      </c>
      <c r="S303" t="str">
        <f t="shared" si="45"/>
        <v>"has_allowed_values":False,</v>
      </c>
      <c r="T303" t="str">
        <f t="shared" si="46"/>
        <v>"allowed_values":""</v>
      </c>
    </row>
    <row r="304" spans="1:20" ht="13" hidden="1" x14ac:dyDescent="0.15">
      <c r="A304" s="7">
        <v>340</v>
      </c>
      <c r="B304" s="6" t="s">
        <v>514</v>
      </c>
      <c r="C304" s="6" t="s">
        <v>512</v>
      </c>
      <c r="D304" s="4" t="s">
        <v>0</v>
      </c>
      <c r="E304" s="4" t="s">
        <v>0</v>
      </c>
      <c r="F304" s="4">
        <v>3</v>
      </c>
      <c r="G304" s="4" t="s">
        <v>591</v>
      </c>
      <c r="H304" s="4" t="s">
        <v>438</v>
      </c>
      <c r="I304" s="4" t="b">
        <v>0</v>
      </c>
      <c r="K304" s="4" t="b">
        <f>IF(COUNTIF($B$2:$B304,B304)&gt;1,TRUE,FALSE)</f>
        <v>0</v>
      </c>
      <c r="L304" t="str">
        <f t="shared" si="39"/>
        <v>p.update({"name":{"form_param":{"type":"string","subtype":"string","indent":3,"default_value":"","docs_url":"https://looker.com/docs/r/lookml/types/form_param/name?version=7.14&amp;lookml=new","has_allowed_values":False,"allowed_values":""}}})</v>
      </c>
      <c r="M304" t="str">
        <f t="shared" si="40"/>
        <v>{"name":{"form_param":{"type":"string","subtype":"string","indent":3,"default_value":"","docs_url":"https://looker.com/docs/r/lookml/types/form_param/name?version=7.14&amp;lookml=new","has_allowed_values":False,"allowed_values":""}}}</v>
      </c>
      <c r="N304" t="str">
        <f t="shared" si="41"/>
        <v>"type":"string",</v>
      </c>
      <c r="O304" t="str">
        <f t="shared" si="42"/>
        <v>"subtype":"string",</v>
      </c>
      <c r="P304" t="str">
        <f t="shared" si="43"/>
        <v>"indent":3,</v>
      </c>
      <c r="Q304" t="str">
        <f t="shared" si="47"/>
        <v>"default_value":"",</v>
      </c>
      <c r="R304" t="str">
        <f t="shared" si="44"/>
        <v>"docs_url":"https://looker.com/docs/r/lookml/types/form_param/name?version=7.14&amp;lookml=new",</v>
      </c>
      <c r="S304" t="str">
        <f t="shared" si="45"/>
        <v>"has_allowed_values":False,</v>
      </c>
      <c r="T304" t="str">
        <f t="shared" si="46"/>
        <v>"allowed_values":""</v>
      </c>
    </row>
    <row r="305" spans="1:20" ht="13" hidden="1" x14ac:dyDescent="0.15">
      <c r="A305" s="7">
        <v>341</v>
      </c>
      <c r="B305" s="6" t="s">
        <v>49</v>
      </c>
      <c r="C305" s="6" t="s">
        <v>512</v>
      </c>
      <c r="D305" s="4" t="s">
        <v>550</v>
      </c>
      <c r="E305" s="4" t="s">
        <v>550</v>
      </c>
      <c r="F305" s="4">
        <v>4</v>
      </c>
      <c r="G305" s="4" t="s">
        <v>556</v>
      </c>
      <c r="H305" s="4" t="s">
        <v>439</v>
      </c>
      <c r="I305" s="4" t="b">
        <v>1</v>
      </c>
      <c r="J305" s="4" t="s">
        <v>554</v>
      </c>
      <c r="K305" s="4" t="b">
        <f>IF(COUNTIF($B$2:$B305,B305)&gt;1,TRUE,FALSE)</f>
        <v>1</v>
      </c>
      <c r="L305" t="str">
        <f t="shared" si="39"/>
        <v>p["type"].update({"form_param":{"type":"options","subtype":"options","indent":4,"default_value":"textarea","docs_url":"https://looker.com/docs/r/lookml/types/form_param/type?version=7.14&amp;lookml=new","has_allowed_values":True,"allowed_values":["select","string","textarea"]}})</v>
      </c>
      <c r="M305" t="str">
        <f t="shared" si="40"/>
        <v>{"type":{"form_param":{"type":"options","subtype":"options","indent":4,"default_value":"textarea","docs_url":"https://looker.com/docs/r/lookml/types/form_param/type?version=7.14&amp;lookml=new","has_allowed_values":True,"allowed_values":["select","string","textarea"]}}}</v>
      </c>
      <c r="N305" t="str">
        <f t="shared" si="41"/>
        <v>"type":"options",</v>
      </c>
      <c r="O305" t="str">
        <f t="shared" si="42"/>
        <v>"subtype":"options",</v>
      </c>
      <c r="P305" t="str">
        <f t="shared" si="43"/>
        <v>"indent":4,</v>
      </c>
      <c r="Q305" t="str">
        <f t="shared" si="47"/>
        <v>"default_value":"textarea",</v>
      </c>
      <c r="R305" t="str">
        <f t="shared" si="44"/>
        <v>"docs_url":"https://looker.com/docs/r/lookml/types/form_param/type?version=7.14&amp;lookml=new",</v>
      </c>
      <c r="S305" t="str">
        <f t="shared" si="45"/>
        <v>"has_allowed_values":True,</v>
      </c>
      <c r="T305" t="str">
        <f t="shared" si="46"/>
        <v>"allowed_values":["select","string","textarea"]</v>
      </c>
    </row>
    <row r="306" spans="1:20" ht="13" hidden="1" x14ac:dyDescent="0.15">
      <c r="A306" s="7">
        <v>342</v>
      </c>
      <c r="B306" s="6" t="s">
        <v>23</v>
      </c>
      <c r="C306" s="6" t="s">
        <v>512</v>
      </c>
      <c r="D306" s="4" t="s">
        <v>29</v>
      </c>
      <c r="E306" s="4" t="s">
        <v>0</v>
      </c>
      <c r="F306" s="4">
        <v>4</v>
      </c>
      <c r="G306" s="4" t="s">
        <v>591</v>
      </c>
      <c r="H306" s="4" t="s">
        <v>440</v>
      </c>
      <c r="I306" s="4" t="b">
        <v>0</v>
      </c>
      <c r="K306" s="4" t="b">
        <f>IF(COUNTIF($B$2:$B306,B306)&gt;1,TRUE,FALSE)</f>
        <v>1</v>
      </c>
      <c r="L306" t="str">
        <f t="shared" si="39"/>
        <v>p["label"].update({"form_param":{"type":"string","subtype":"possibly-localized-string","indent":4,"default_value":"","docs_url":"https://looker.com/docs/r/lookml/types/form_param/label?version=7.14&amp;lookml=new","has_allowed_values":False,"allowed_values":""}})</v>
      </c>
      <c r="M306" t="str">
        <f t="shared" si="40"/>
        <v>{"label":{"form_param":{"type":"string","subtype":"possibly-localized-string","indent":4,"default_value":"","docs_url":"https://looker.com/docs/r/lookml/types/form_param/label?version=7.14&amp;lookml=new","has_allowed_values":False,"allowed_values":""}}}</v>
      </c>
      <c r="N306" t="str">
        <f t="shared" si="41"/>
        <v>"type":"string",</v>
      </c>
      <c r="O306" t="str">
        <f t="shared" si="42"/>
        <v>"subtype":"possibly-localized-string",</v>
      </c>
      <c r="P306" t="str">
        <f t="shared" si="43"/>
        <v>"indent":4,</v>
      </c>
      <c r="Q306" t="str">
        <f t="shared" si="47"/>
        <v>"default_value":"",</v>
      </c>
      <c r="R306" t="str">
        <f t="shared" si="44"/>
        <v>"docs_url":"https://looker.com/docs/r/lookml/types/form_param/label?version=7.14&amp;lookml=new",</v>
      </c>
      <c r="S306" t="str">
        <f t="shared" si="45"/>
        <v>"has_allowed_values":False,</v>
      </c>
      <c r="T306" t="str">
        <f t="shared" si="46"/>
        <v>"allowed_values":""</v>
      </c>
    </row>
    <row r="307" spans="1:20" ht="13" hidden="1" x14ac:dyDescent="0.15">
      <c r="A307" s="7">
        <v>343</v>
      </c>
      <c r="B307" s="6" t="s">
        <v>128</v>
      </c>
      <c r="C307" s="6" t="s">
        <v>512</v>
      </c>
      <c r="D307" s="4" t="s">
        <v>540</v>
      </c>
      <c r="E307" s="4" t="s">
        <v>540</v>
      </c>
      <c r="F307" s="4">
        <v>4</v>
      </c>
      <c r="H307" s="4" t="s">
        <v>441</v>
      </c>
      <c r="I307" s="4" t="b">
        <v>0</v>
      </c>
      <c r="K307" s="4" t="b">
        <f>IF(COUNTIF($B$2:$B307,B307)&gt;1,TRUE,FALSE)</f>
        <v>0</v>
      </c>
      <c r="L307" t="str">
        <f t="shared" si="39"/>
        <v>p.update({"option":{"form_param":{"type":"anonymous_construct_plural","subtype":"anonymous_construct_plural","indent":4,"default_value":"","docs_url":"https://looker.com/docs/r/lookml/types/form_param/option?version=7.14&amp;lookml=new","has_allowed_values":False,"allowed_values":""}}})</v>
      </c>
      <c r="M307" t="str">
        <f t="shared" si="40"/>
        <v>{"option":{"form_param":{"type":"anonymous_construct_plural","subtype":"anonymous_construct_plural","indent":4,"default_value":"","docs_url":"https://looker.com/docs/r/lookml/types/form_param/option?version=7.14&amp;lookml=new","has_allowed_values":False,"allowed_values":""}}}</v>
      </c>
      <c r="N307" t="str">
        <f t="shared" si="41"/>
        <v>"type":"anonymous_construct_plural",</v>
      </c>
      <c r="O307" t="str">
        <f t="shared" si="42"/>
        <v>"subtype":"anonymous_construct_plural",</v>
      </c>
      <c r="P307" t="str">
        <f t="shared" si="43"/>
        <v>"indent":4,</v>
      </c>
      <c r="Q307" t="str">
        <f t="shared" si="47"/>
        <v>"default_value":"",</v>
      </c>
      <c r="R307" t="str">
        <f t="shared" si="44"/>
        <v>"docs_url":"https://looker.com/docs/r/lookml/types/form_param/option?version=7.14&amp;lookml=new",</v>
      </c>
      <c r="S307" t="str">
        <f t="shared" si="45"/>
        <v>"has_allowed_values":False,</v>
      </c>
      <c r="T307" t="str">
        <f t="shared" si="46"/>
        <v>"allowed_values":""</v>
      </c>
    </row>
    <row r="308" spans="1:20" ht="13" hidden="1" x14ac:dyDescent="0.15">
      <c r="A308" s="7">
        <v>344</v>
      </c>
      <c r="B308" s="6" t="s">
        <v>515</v>
      </c>
      <c r="C308" s="6" t="s">
        <v>512</v>
      </c>
      <c r="D308" s="4" t="s">
        <v>568</v>
      </c>
      <c r="E308" s="4" t="s">
        <v>568</v>
      </c>
      <c r="F308" s="4">
        <v>4</v>
      </c>
      <c r="G308" s="4" t="s">
        <v>603</v>
      </c>
      <c r="H308" s="4" t="s">
        <v>442</v>
      </c>
      <c r="I308" s="4" t="b">
        <v>0</v>
      </c>
      <c r="K308" s="4" t="b">
        <f>IF(COUNTIF($B$2:$B308,B308)&gt;1,TRUE,FALSE)</f>
        <v>0</v>
      </c>
      <c r="L308" t="str">
        <f t="shared" si="39"/>
        <v>p.update({"required":{"form_param":{"type":"yesno","subtype":"yesno","indent":4,"default_value":"no","docs_url":"https://looker.com/docs/r/lookml/types/form_param/required?version=7.14&amp;lookml=new","has_allowed_values":False,"allowed_values":""}}})</v>
      </c>
      <c r="M308" t="str">
        <f t="shared" si="40"/>
        <v>{"required":{"form_param":{"type":"yesno","subtype":"yesno","indent":4,"default_value":"no","docs_url":"https://looker.com/docs/r/lookml/types/form_param/required?version=7.14&amp;lookml=new","has_allowed_values":False,"allowed_values":""}}}</v>
      </c>
      <c r="N308" t="str">
        <f t="shared" si="41"/>
        <v>"type":"yesno",</v>
      </c>
      <c r="O308" t="str">
        <f t="shared" si="42"/>
        <v>"subtype":"yesno",</v>
      </c>
      <c r="P308" t="str">
        <f t="shared" si="43"/>
        <v>"indent":4,</v>
      </c>
      <c r="Q308" t="str">
        <f t="shared" si="47"/>
        <v>"default_value":"no",</v>
      </c>
      <c r="R308" t="str">
        <f t="shared" si="44"/>
        <v>"docs_url":"https://looker.com/docs/r/lookml/types/form_param/required?version=7.14&amp;lookml=new",</v>
      </c>
      <c r="S308" t="str">
        <f t="shared" si="45"/>
        <v>"has_allowed_values":False,</v>
      </c>
      <c r="T308" t="str">
        <f t="shared" si="46"/>
        <v>"allowed_values":""</v>
      </c>
    </row>
    <row r="309" spans="1:20" ht="13" hidden="1" x14ac:dyDescent="0.15">
      <c r="A309" s="7">
        <v>345</v>
      </c>
      <c r="B309" s="6" t="s">
        <v>11</v>
      </c>
      <c r="C309" s="6" t="s">
        <v>512</v>
      </c>
      <c r="D309" s="4" t="s">
        <v>29</v>
      </c>
      <c r="E309" s="4" t="s">
        <v>0</v>
      </c>
      <c r="F309" s="4">
        <v>4</v>
      </c>
      <c r="G309" s="4" t="s">
        <v>591</v>
      </c>
      <c r="H309" s="4" t="s">
        <v>443</v>
      </c>
      <c r="I309" s="4" t="b">
        <v>0</v>
      </c>
      <c r="K309" s="4" t="b">
        <f>IF(COUNTIF($B$2:$B309,B309)&gt;1,TRUE,FALSE)</f>
        <v>1</v>
      </c>
      <c r="L309" t="str">
        <f t="shared" si="39"/>
        <v>p["description"].update({"form_param":{"type":"string","subtype":"possibly-localized-string","indent":4,"default_value":"","docs_url":"https://looker.com/docs/r/lookml/types/form_param/description?version=7.14&amp;lookml=new","has_allowed_values":False,"allowed_values":""}})</v>
      </c>
      <c r="M309" t="str">
        <f t="shared" si="40"/>
        <v>{"description":{"form_param":{"type":"string","subtype":"possibly-localized-string","indent":4,"default_value":"","docs_url":"https://looker.com/docs/r/lookml/types/form_param/description?version=7.14&amp;lookml=new","has_allowed_values":False,"allowed_values":""}}}</v>
      </c>
      <c r="N309" t="str">
        <f t="shared" si="41"/>
        <v>"type":"string",</v>
      </c>
      <c r="O309" t="str">
        <f t="shared" si="42"/>
        <v>"subtype":"possibly-localized-string",</v>
      </c>
      <c r="P309" t="str">
        <f t="shared" si="43"/>
        <v>"indent":4,</v>
      </c>
      <c r="Q309" t="str">
        <f t="shared" si="47"/>
        <v>"default_value":"",</v>
      </c>
      <c r="R309" t="str">
        <f t="shared" si="44"/>
        <v>"docs_url":"https://looker.com/docs/r/lookml/types/form_param/description?version=7.14&amp;lookml=new",</v>
      </c>
      <c r="S309" t="str">
        <f t="shared" si="45"/>
        <v>"has_allowed_values":False,</v>
      </c>
      <c r="T309" t="str">
        <f t="shared" si="46"/>
        <v>"allowed_values":""</v>
      </c>
    </row>
    <row r="310" spans="1:20" ht="13" hidden="1" x14ac:dyDescent="0.15">
      <c r="A310" s="7">
        <v>346</v>
      </c>
      <c r="B310" s="6" t="s">
        <v>516</v>
      </c>
      <c r="C310" s="6" t="s">
        <v>512</v>
      </c>
      <c r="D310" s="4" t="s">
        <v>0</v>
      </c>
      <c r="E310" s="4" t="s">
        <v>0</v>
      </c>
      <c r="F310" s="4">
        <v>4</v>
      </c>
      <c r="G310" s="4" t="s">
        <v>591</v>
      </c>
      <c r="H310" s="4" t="s">
        <v>444</v>
      </c>
      <c r="I310" s="4" t="b">
        <v>0</v>
      </c>
      <c r="K310" s="4" t="b">
        <f>IF(COUNTIF($B$2:$B310,B310)&gt;1,TRUE,FALSE)</f>
        <v>0</v>
      </c>
      <c r="L310" t="str">
        <f t="shared" si="39"/>
        <v>p.update({"default":{"form_param":{"type":"string","subtype":"string","indent":4,"default_value":"","docs_url":"https://looker.com/docs/r/lookml/types/form_param/default?version=7.14&amp;lookml=new","has_allowed_values":False,"allowed_values":""}}})</v>
      </c>
      <c r="M310" t="str">
        <f t="shared" si="40"/>
        <v>{"default":{"form_param":{"type":"string","subtype":"string","indent":4,"default_value":"","docs_url":"https://looker.com/docs/r/lookml/types/form_param/default?version=7.14&amp;lookml=new","has_allowed_values":False,"allowed_values":""}}}</v>
      </c>
      <c r="N310" t="str">
        <f t="shared" si="41"/>
        <v>"type":"string",</v>
      </c>
      <c r="O310" t="str">
        <f t="shared" si="42"/>
        <v>"subtype":"string",</v>
      </c>
      <c r="P310" t="str">
        <f t="shared" si="43"/>
        <v>"indent":4,</v>
      </c>
      <c r="Q310" t="str">
        <f t="shared" si="47"/>
        <v>"default_value":"",</v>
      </c>
      <c r="R310" t="str">
        <f t="shared" si="44"/>
        <v>"docs_url":"https://looker.com/docs/r/lookml/types/form_param/default?version=7.14&amp;lookml=new",</v>
      </c>
      <c r="S310" t="str">
        <f t="shared" si="45"/>
        <v>"has_allowed_values":False,</v>
      </c>
      <c r="T310" t="str">
        <f t="shared" si="46"/>
        <v>"allowed_values":""</v>
      </c>
    </row>
    <row r="311" spans="1:20" ht="13" hidden="1" x14ac:dyDescent="0.15">
      <c r="A311" s="7">
        <v>349</v>
      </c>
      <c r="B311" s="6" t="s">
        <v>514</v>
      </c>
      <c r="C311" s="6" t="s">
        <v>128</v>
      </c>
      <c r="D311" s="4" t="s">
        <v>0</v>
      </c>
      <c r="E311" s="4" t="s">
        <v>0</v>
      </c>
      <c r="F311" s="4">
        <v>5</v>
      </c>
      <c r="G311" s="4" t="s">
        <v>591</v>
      </c>
      <c r="H311" s="4" t="s">
        <v>445</v>
      </c>
      <c r="I311" s="4" t="b">
        <v>0</v>
      </c>
      <c r="K311" s="4" t="b">
        <f>IF(COUNTIF($B$2:$B311,B311)&gt;1,TRUE,FALSE)</f>
        <v>1</v>
      </c>
      <c r="L311" t="str">
        <f t="shared" si="39"/>
        <v>p["name"].update({"option":{"type":"string","subtype":"string","indent":5,"default_value":"","docs_url":"https://looker.com/docs/r/lookml/types/option/name?version=7.14&amp;lookml=new","has_allowed_values":False,"allowed_values":""}})</v>
      </c>
      <c r="M311" t="str">
        <f t="shared" si="40"/>
        <v>{"name":{"option":{"type":"string","subtype":"string","indent":5,"default_value":"","docs_url":"https://looker.com/docs/r/lookml/types/option/name?version=7.14&amp;lookml=new","has_allowed_values":False,"allowed_values":""}}}</v>
      </c>
      <c r="N311" t="str">
        <f t="shared" si="41"/>
        <v>"type":"string",</v>
      </c>
      <c r="O311" t="str">
        <f t="shared" si="42"/>
        <v>"subtype":"string",</v>
      </c>
      <c r="P311" t="str">
        <f t="shared" si="43"/>
        <v>"indent":5,</v>
      </c>
      <c r="Q311" t="str">
        <f t="shared" si="47"/>
        <v>"default_value":"",</v>
      </c>
      <c r="R311" t="str">
        <f t="shared" si="44"/>
        <v>"docs_url":"https://looker.com/docs/r/lookml/types/option/name?version=7.14&amp;lookml=new",</v>
      </c>
      <c r="S311" t="str">
        <f t="shared" si="45"/>
        <v>"has_allowed_values":False,</v>
      </c>
      <c r="T311" t="str">
        <f t="shared" si="46"/>
        <v>"allowed_values":""</v>
      </c>
    </row>
    <row r="312" spans="1:20" ht="13" hidden="1" x14ac:dyDescent="0.15">
      <c r="A312" s="7">
        <v>350</v>
      </c>
      <c r="B312" s="6" t="s">
        <v>23</v>
      </c>
      <c r="C312" s="6" t="s">
        <v>128</v>
      </c>
      <c r="D312" s="4" t="s">
        <v>29</v>
      </c>
      <c r="E312" s="4" t="s">
        <v>0</v>
      </c>
      <c r="F312" s="4">
        <v>5</v>
      </c>
      <c r="G312" s="4" t="s">
        <v>591</v>
      </c>
      <c r="H312" s="4" t="s">
        <v>446</v>
      </c>
      <c r="I312" s="4" t="b">
        <v>0</v>
      </c>
      <c r="K312" s="4" t="b">
        <f>IF(COUNTIF($B$2:$B312,B312)&gt;1,TRUE,FALSE)</f>
        <v>1</v>
      </c>
      <c r="L312" t="str">
        <f t="shared" si="39"/>
        <v>p["label"].update({"option":{"type":"string","subtype":"possibly-localized-string","indent":5,"default_value":"","docs_url":"https://looker.com/docs/r/lookml/types/option/label?version=7.14&amp;lookml=new","has_allowed_values":False,"allowed_values":""}})</v>
      </c>
      <c r="M312" t="str">
        <f t="shared" si="40"/>
        <v>{"label":{"option":{"type":"string","subtype":"possibly-localized-string","indent":5,"default_value":"","docs_url":"https://looker.com/docs/r/lookml/types/option/label?version=7.14&amp;lookml=new","has_allowed_values":False,"allowed_values":""}}}</v>
      </c>
      <c r="N312" t="str">
        <f t="shared" si="41"/>
        <v>"type":"string",</v>
      </c>
      <c r="O312" t="str">
        <f t="shared" si="42"/>
        <v>"subtype":"possibly-localized-string",</v>
      </c>
      <c r="P312" t="str">
        <f t="shared" si="43"/>
        <v>"indent":5,</v>
      </c>
      <c r="Q312" t="str">
        <f t="shared" si="47"/>
        <v>"default_value":"",</v>
      </c>
      <c r="R312" t="str">
        <f t="shared" si="44"/>
        <v>"docs_url":"https://looker.com/docs/r/lookml/types/option/label?version=7.14&amp;lookml=new",</v>
      </c>
      <c r="S312" t="str">
        <f t="shared" si="45"/>
        <v>"has_allowed_values":False,</v>
      </c>
      <c r="T312" t="str">
        <f t="shared" si="46"/>
        <v>"allowed_values":""</v>
      </c>
    </row>
    <row r="313" spans="1:20" ht="13" hidden="1" x14ac:dyDescent="0.15">
      <c r="A313" s="7">
        <v>353</v>
      </c>
      <c r="B313" s="6" t="s">
        <v>517</v>
      </c>
      <c r="C313" s="3" t="s">
        <v>7</v>
      </c>
      <c r="D313" s="4" t="s">
        <v>540</v>
      </c>
      <c r="E313" s="4" t="s">
        <v>540</v>
      </c>
      <c r="F313" s="4">
        <v>4</v>
      </c>
      <c r="H313" s="4" t="s">
        <v>447</v>
      </c>
      <c r="I313" s="4" t="b">
        <v>0</v>
      </c>
      <c r="K313" s="4" t="b">
        <f>IF(COUNTIF($B$2:$B313,B313)&gt;1,TRUE,FALSE)</f>
        <v>0</v>
      </c>
      <c r="L313" t="str">
        <f t="shared" si="39"/>
        <v>p.update({"when":{"case":{"type":"anonymous_construct_plural","subtype":"anonymous_construct_plural","indent":4,"default_value":"","docs_url":"https://looker.com/docs/r/lookml/types/case/when?version=7.14&amp;lookml=new","has_allowed_values":False,"allowed_values":""}}})</v>
      </c>
      <c r="M313" t="str">
        <f t="shared" si="40"/>
        <v>{"when":{"case":{"type":"anonymous_construct_plural","subtype":"anonymous_construct_plural","indent":4,"default_value":"","docs_url":"https://looker.com/docs/r/lookml/types/case/when?version=7.14&amp;lookml=new","has_allowed_values":False,"allowed_values":""}}}</v>
      </c>
      <c r="N313" t="str">
        <f t="shared" si="41"/>
        <v>"type":"anonymous_construct_plural",</v>
      </c>
      <c r="O313" t="str">
        <f t="shared" si="42"/>
        <v>"subtype":"anonymous_construct_plural",</v>
      </c>
      <c r="P313" t="str">
        <f t="shared" si="43"/>
        <v>"indent":4,</v>
      </c>
      <c r="Q313" t="str">
        <f t="shared" si="47"/>
        <v>"default_value":"",</v>
      </c>
      <c r="R313" t="str">
        <f t="shared" si="44"/>
        <v>"docs_url":"https://looker.com/docs/r/lookml/types/case/when?version=7.14&amp;lookml=new",</v>
      </c>
      <c r="S313" t="str">
        <f t="shared" si="45"/>
        <v>"has_allowed_values":False,</v>
      </c>
      <c r="T313" t="str">
        <f t="shared" si="46"/>
        <v>"allowed_values":""</v>
      </c>
    </row>
    <row r="314" spans="1:20" ht="13" hidden="1" x14ac:dyDescent="0.15">
      <c r="A314" s="7">
        <v>354</v>
      </c>
      <c r="B314" s="6" t="s">
        <v>518</v>
      </c>
      <c r="C314" s="3" t="s">
        <v>7</v>
      </c>
      <c r="D314" s="4" t="s">
        <v>0</v>
      </c>
      <c r="E314" s="4" t="s">
        <v>0</v>
      </c>
      <c r="F314" s="4">
        <v>4</v>
      </c>
      <c r="G314" s="4" t="s">
        <v>591</v>
      </c>
      <c r="H314" s="4" t="s">
        <v>448</v>
      </c>
      <c r="I314" s="4" t="b">
        <v>0</v>
      </c>
      <c r="K314" s="4" t="b">
        <f>IF(COUNTIF($B$2:$B314,B314)&gt;1,TRUE,FALSE)</f>
        <v>0</v>
      </c>
      <c r="L314" t="str">
        <f t="shared" si="39"/>
        <v>p.update({"else":{"case":{"type":"string","subtype":"string","indent":4,"default_value":"","docs_url":"https://looker.com/docs/r/lookml/types/case/else?version=7.14&amp;lookml=new","has_allowed_values":False,"allowed_values":""}}})</v>
      </c>
      <c r="M314" t="str">
        <f t="shared" si="40"/>
        <v>{"else":{"case":{"type":"string","subtype":"string","indent":4,"default_value":"","docs_url":"https://looker.com/docs/r/lookml/types/case/else?version=7.14&amp;lookml=new","has_allowed_values":False,"allowed_values":""}}}</v>
      </c>
      <c r="N314" t="str">
        <f t="shared" si="41"/>
        <v>"type":"string",</v>
      </c>
      <c r="O314" t="str">
        <f t="shared" si="42"/>
        <v>"subtype":"string",</v>
      </c>
      <c r="P314" t="str">
        <f t="shared" si="43"/>
        <v>"indent":4,</v>
      </c>
      <c r="Q314" t="str">
        <f t="shared" si="47"/>
        <v>"default_value":"",</v>
      </c>
      <c r="R314" t="str">
        <f t="shared" si="44"/>
        <v>"docs_url":"https://looker.com/docs/r/lookml/types/case/else?version=7.14&amp;lookml=new",</v>
      </c>
      <c r="S314" t="str">
        <f t="shared" si="45"/>
        <v>"has_allowed_values":False,</v>
      </c>
      <c r="T314" t="str">
        <f t="shared" si="46"/>
        <v>"allowed_values":""</v>
      </c>
    </row>
    <row r="315" spans="1:20" ht="13" hidden="1" x14ac:dyDescent="0.15">
      <c r="A315" s="7">
        <v>357</v>
      </c>
      <c r="B315" s="6" t="s">
        <v>519</v>
      </c>
      <c r="C315" s="3" t="s">
        <v>129</v>
      </c>
      <c r="D315" s="4" t="s">
        <v>17</v>
      </c>
      <c r="E315" s="1" t="s">
        <v>598</v>
      </c>
      <c r="F315" s="4">
        <v>5</v>
      </c>
      <c r="H315" s="4" t="s">
        <v>449</v>
      </c>
      <c r="I315" s="4" t="b">
        <v>0</v>
      </c>
      <c r="K315" s="4" t="b">
        <f>IF(COUNTIF($B$2:$B315,B315)&gt;1,TRUE,FALSE)</f>
        <v>0</v>
      </c>
      <c r="L315" t="str">
        <f t="shared" si="39"/>
        <v>p.update({"field":{"column":{"type":"string_unquoted","subtype":"field-ref","indent":5,"default_value":"","docs_url":"https://looker.com/docs/r/lookml/types/column/field?version=7.14&amp;lookml=new","has_allowed_values":False,"allowed_values":""}}})</v>
      </c>
      <c r="M315" t="str">
        <f t="shared" si="40"/>
        <v>{"field":{"column":{"type":"string_unquoted","subtype":"field-ref","indent":5,"default_value":"","docs_url":"https://looker.com/docs/r/lookml/types/column/field?version=7.14&amp;lookml=new","has_allowed_values":False,"allowed_values":""}}}</v>
      </c>
      <c r="N315" t="str">
        <f t="shared" si="41"/>
        <v>"type":"string_unquoted",</v>
      </c>
      <c r="O315" t="str">
        <f t="shared" si="42"/>
        <v>"subtype":"field-ref",</v>
      </c>
      <c r="P315" t="str">
        <f t="shared" si="43"/>
        <v>"indent":5,</v>
      </c>
      <c r="Q315" t="str">
        <f t="shared" si="47"/>
        <v>"default_value":"",</v>
      </c>
      <c r="R315" t="str">
        <f t="shared" si="44"/>
        <v>"docs_url":"https://looker.com/docs/r/lookml/types/column/field?version=7.14&amp;lookml=new",</v>
      </c>
      <c r="S315" t="str">
        <f t="shared" si="45"/>
        <v>"has_allowed_values":False,</v>
      </c>
      <c r="T315" t="str">
        <f t="shared" si="46"/>
        <v>"allowed_values":""</v>
      </c>
    </row>
    <row r="316" spans="1:20" ht="13" hidden="1" x14ac:dyDescent="0.15">
      <c r="A316" s="7">
        <v>360</v>
      </c>
      <c r="B316" s="6" t="s">
        <v>34</v>
      </c>
      <c r="C316" s="3" t="s">
        <v>130</v>
      </c>
      <c r="D316" s="4" t="s">
        <v>611</v>
      </c>
      <c r="E316" s="4" t="s">
        <v>34</v>
      </c>
      <c r="F316" s="4">
        <v>5</v>
      </c>
      <c r="G316" s="4" t="s">
        <v>591</v>
      </c>
      <c r="H316" s="4" t="s">
        <v>450</v>
      </c>
      <c r="I316" s="4" t="b">
        <v>0</v>
      </c>
      <c r="K316" s="4" t="b">
        <f>IF(COUNTIF($B$2:$B316,B316)&gt;1,TRUE,FALSE)</f>
        <v>1</v>
      </c>
      <c r="L316" t="str">
        <f t="shared" si="39"/>
        <v>p["sql"].update({"derived_column":{"type":"sql","subtype":"sql-block ","indent":5,"default_value":"","docs_url":"https://looker.com/docs/r/lookml/types/derived_column/sql?version=7.14&amp;lookml=new","has_allowed_values":False,"allowed_values":""}})</v>
      </c>
      <c r="M316" t="str">
        <f t="shared" si="40"/>
        <v>{"sql":{"derived_column":{"type":"sql","subtype":"sql-block ","indent":5,"default_value":"","docs_url":"https://looker.com/docs/r/lookml/types/derived_column/sql?version=7.14&amp;lookml=new","has_allowed_values":False,"allowed_values":""}}}</v>
      </c>
      <c r="N316" t="str">
        <f t="shared" si="41"/>
        <v>"type":"sql",</v>
      </c>
      <c r="O316" t="str">
        <f t="shared" si="42"/>
        <v>"subtype":"sql-block ",</v>
      </c>
      <c r="P316" t="str">
        <f t="shared" si="43"/>
        <v>"indent":5,</v>
      </c>
      <c r="Q316" t="str">
        <f t="shared" si="47"/>
        <v>"default_value":"",</v>
      </c>
      <c r="R316" t="str">
        <f t="shared" si="44"/>
        <v>"docs_url":"https://looker.com/docs/r/lookml/types/derived_column/sql?version=7.14&amp;lookml=new",</v>
      </c>
      <c r="S316" t="str">
        <f t="shared" si="45"/>
        <v>"has_allowed_values":False,</v>
      </c>
      <c r="T316" t="str">
        <f t="shared" si="46"/>
        <v>"allowed_values":""</v>
      </c>
    </row>
    <row r="317" spans="1:20" ht="13" hidden="1" x14ac:dyDescent="0.15">
      <c r="A317" s="7">
        <v>363</v>
      </c>
      <c r="B317" s="6" t="s">
        <v>520</v>
      </c>
      <c r="C317" s="3" t="s">
        <v>131</v>
      </c>
      <c r="D317" s="4" t="s">
        <v>17</v>
      </c>
      <c r="E317" s="1" t="s">
        <v>598</v>
      </c>
      <c r="F317" s="4">
        <v>4</v>
      </c>
      <c r="H317" s="4" t="s">
        <v>451</v>
      </c>
      <c r="I317" s="4" t="b">
        <v>0</v>
      </c>
      <c r="K317" s="4" t="b">
        <f>IF(COUNTIF($B$2:$B317,B317)&gt;1,TRUE,FALSE)</f>
        <v>0</v>
      </c>
      <c r="L317" t="str">
        <f t="shared" si="39"/>
        <v>p.update({"from_field":{"bind_filters":{"type":"string_unquoted","subtype":"field-ref","indent":4,"default_value":"","docs_url":"https://looker.com/docs/r/lookml/types/bind_filters/from_field?version=7.14&amp;lookml=new","has_allowed_values":False,"allowed_values":""}}})</v>
      </c>
      <c r="M317" t="str">
        <f t="shared" si="40"/>
        <v>{"from_field":{"bind_filters":{"type":"string_unquoted","subtype":"field-ref","indent":4,"default_value":"","docs_url":"https://looker.com/docs/r/lookml/types/bind_filters/from_field?version=7.14&amp;lookml=new","has_allowed_values":False,"allowed_values":""}}}</v>
      </c>
      <c r="N317" t="str">
        <f t="shared" si="41"/>
        <v>"type":"string_unquoted",</v>
      </c>
      <c r="O317" t="str">
        <f t="shared" si="42"/>
        <v>"subtype":"field-ref",</v>
      </c>
      <c r="P317" t="str">
        <f t="shared" si="43"/>
        <v>"indent":4,</v>
      </c>
      <c r="Q317" t="str">
        <f t="shared" si="47"/>
        <v>"default_value":"",</v>
      </c>
      <c r="R317" t="str">
        <f t="shared" si="44"/>
        <v>"docs_url":"https://looker.com/docs/r/lookml/types/bind_filters/from_field?version=7.14&amp;lookml=new",</v>
      </c>
      <c r="S317" t="str">
        <f t="shared" si="45"/>
        <v>"has_allowed_values":False,</v>
      </c>
      <c r="T317" t="str">
        <f t="shared" si="46"/>
        <v>"allowed_values":""</v>
      </c>
    </row>
    <row r="318" spans="1:20" ht="13" hidden="1" x14ac:dyDescent="0.15">
      <c r="A318" s="7">
        <v>364</v>
      </c>
      <c r="B318" s="6" t="s">
        <v>521</v>
      </c>
      <c r="C318" s="3" t="s">
        <v>131</v>
      </c>
      <c r="D318" s="4" t="s">
        <v>17</v>
      </c>
      <c r="E318" s="1" t="s">
        <v>598</v>
      </c>
      <c r="F318" s="4">
        <v>4</v>
      </c>
      <c r="H318" s="4" t="s">
        <v>452</v>
      </c>
      <c r="I318" s="4" t="b">
        <v>0</v>
      </c>
      <c r="K318" s="4" t="b">
        <f>IF(COUNTIF($B$2:$B318,B318)&gt;1,TRUE,FALSE)</f>
        <v>0</v>
      </c>
      <c r="L318" t="str">
        <f t="shared" si="39"/>
        <v>p.update({"to_field":{"bind_filters":{"type":"string_unquoted","subtype":"field-ref","indent":4,"default_value":"","docs_url":"https://looker.com/docs/r/lookml/types/bind_filters/to_field?version=7.14&amp;lookml=new","has_allowed_values":False,"allowed_values":""}}})</v>
      </c>
      <c r="M318" t="str">
        <f t="shared" si="40"/>
        <v>{"to_field":{"bind_filters":{"type":"string_unquoted","subtype":"field-ref","indent":4,"default_value":"","docs_url":"https://looker.com/docs/r/lookml/types/bind_filters/to_field?version=7.14&amp;lookml=new","has_allowed_values":False,"allowed_values":""}}}</v>
      </c>
      <c r="N318" t="str">
        <f t="shared" si="41"/>
        <v>"type":"string_unquoted",</v>
      </c>
      <c r="O318" t="str">
        <f t="shared" si="42"/>
        <v>"subtype":"field-ref",</v>
      </c>
      <c r="P318" t="str">
        <f t="shared" si="43"/>
        <v>"indent":4,</v>
      </c>
      <c r="Q318" t="str">
        <f t="shared" si="47"/>
        <v>"default_value":"",</v>
      </c>
      <c r="R318" t="str">
        <f t="shared" si="44"/>
        <v>"docs_url":"https://looker.com/docs/r/lookml/types/bind_filters/to_field?version=7.14&amp;lookml=new",</v>
      </c>
      <c r="S318" t="str">
        <f t="shared" si="45"/>
        <v>"has_allowed_values":False,</v>
      </c>
      <c r="T318" t="str">
        <f t="shared" si="46"/>
        <v>"allowed_values":""</v>
      </c>
    </row>
    <row r="319" spans="1:20" ht="13" hidden="1" x14ac:dyDescent="0.15">
      <c r="A319" s="7">
        <v>367</v>
      </c>
      <c r="B319" s="6" t="s">
        <v>522</v>
      </c>
      <c r="C319" s="3" t="s">
        <v>132</v>
      </c>
      <c r="D319" s="4" t="s">
        <v>0</v>
      </c>
      <c r="E319" s="4" t="s">
        <v>0</v>
      </c>
      <c r="F319" s="4">
        <v>1</v>
      </c>
      <c r="G319" s="4" t="s">
        <v>591</v>
      </c>
      <c r="H319" s="10" t="s">
        <v>453</v>
      </c>
      <c r="I319" s="4" t="b">
        <v>0</v>
      </c>
      <c r="K319" s="4" t="b">
        <f>IF(COUNTIF($B$2:$B319,B319)&gt;1,TRUE,FALSE)</f>
        <v>0</v>
      </c>
      <c r="L319" t="str">
        <f t="shared" si="39"/>
        <v>p.update({"extents_json_url":{"map_layer":{"type":"string","subtype":"string","indent":1,"default_value":"","docs_url":"https://looker.com/docs/r/lookml/types/map_layer/extents_json_url?version=7.14&amp;lookml=new","has_allowed_values":False,"allowed_values":""}}})</v>
      </c>
      <c r="M319" t="str">
        <f t="shared" si="40"/>
        <v>{"extents_json_url":{"map_layer":{"type":"string","subtype":"string","indent":1,"default_value":"","docs_url":"https://looker.com/docs/r/lookml/types/map_layer/extents_json_url?version=7.14&amp;lookml=new","has_allowed_values":False,"allowed_values":""}}}</v>
      </c>
      <c r="N319" t="str">
        <f t="shared" si="41"/>
        <v>"type":"string",</v>
      </c>
      <c r="O319" t="str">
        <f t="shared" si="42"/>
        <v>"subtype":"string",</v>
      </c>
      <c r="P319" t="str">
        <f t="shared" si="43"/>
        <v>"indent":1,</v>
      </c>
      <c r="Q319" t="str">
        <f t="shared" si="47"/>
        <v>"default_value":"",</v>
      </c>
      <c r="R319" t="str">
        <f t="shared" si="44"/>
        <v>"docs_url":"https://looker.com/docs/r/lookml/types/map_layer/extents_json_url?version=7.14&amp;lookml=new",</v>
      </c>
      <c r="S319" t="str">
        <f t="shared" si="45"/>
        <v>"has_allowed_values":False,</v>
      </c>
      <c r="T319" t="str">
        <f t="shared" si="46"/>
        <v>"allowed_values":""</v>
      </c>
    </row>
    <row r="320" spans="1:20" ht="13" hidden="1" x14ac:dyDescent="0.15">
      <c r="A320" s="7">
        <v>368</v>
      </c>
      <c r="B320" s="6" t="s">
        <v>523</v>
      </c>
      <c r="C320" s="3" t="s">
        <v>132</v>
      </c>
      <c r="D320" s="4" t="s">
        <v>0</v>
      </c>
      <c r="E320" s="4" t="s">
        <v>0</v>
      </c>
      <c r="F320" s="4">
        <v>1</v>
      </c>
      <c r="G320" s="4" t="s">
        <v>591</v>
      </c>
      <c r="H320" s="4" t="s">
        <v>454</v>
      </c>
      <c r="I320" s="4" t="b">
        <v>0</v>
      </c>
      <c r="K320" s="4" t="b">
        <f>IF(COUNTIF($B$2:$B320,B320)&gt;1,TRUE,FALSE)</f>
        <v>0</v>
      </c>
      <c r="L320" t="str">
        <f t="shared" si="39"/>
        <v>p.update({"feature_key":{"map_layer":{"type":"string","subtype":"string","indent":1,"default_value":"","docs_url":"https://looker.com/docs/r/lookml/types/map_layer/feature_key?version=7.14&amp;lookml=new","has_allowed_values":False,"allowed_values":""}}})</v>
      </c>
      <c r="M320" t="str">
        <f t="shared" si="40"/>
        <v>{"feature_key":{"map_layer":{"type":"string","subtype":"string","indent":1,"default_value":"","docs_url":"https://looker.com/docs/r/lookml/types/map_layer/feature_key?version=7.14&amp;lookml=new","has_allowed_values":False,"allowed_values":""}}}</v>
      </c>
      <c r="N320" t="str">
        <f t="shared" si="41"/>
        <v>"type":"string",</v>
      </c>
      <c r="O320" t="str">
        <f t="shared" si="42"/>
        <v>"subtype":"string",</v>
      </c>
      <c r="P320" t="str">
        <f t="shared" si="43"/>
        <v>"indent":1,</v>
      </c>
      <c r="Q320" t="str">
        <f t="shared" si="47"/>
        <v>"default_value":"",</v>
      </c>
      <c r="R320" t="str">
        <f t="shared" si="44"/>
        <v>"docs_url":"https://looker.com/docs/r/lookml/types/map_layer/feature_key?version=7.14&amp;lookml=new",</v>
      </c>
      <c r="S320" t="str">
        <f t="shared" si="45"/>
        <v>"has_allowed_values":False,</v>
      </c>
      <c r="T320" t="str">
        <f t="shared" si="46"/>
        <v>"allowed_values":""</v>
      </c>
    </row>
    <row r="321" spans="1:20" ht="13" hidden="1" x14ac:dyDescent="0.15">
      <c r="A321" s="7">
        <v>369</v>
      </c>
      <c r="B321" s="6" t="s">
        <v>495</v>
      </c>
      <c r="C321" s="3" t="s">
        <v>132</v>
      </c>
      <c r="D321" s="4" t="s">
        <v>0</v>
      </c>
      <c r="E321" s="4" t="s">
        <v>0</v>
      </c>
      <c r="F321" s="4">
        <v>1</v>
      </c>
      <c r="G321" s="4" t="s">
        <v>591</v>
      </c>
      <c r="H321" s="4" t="s">
        <v>455</v>
      </c>
      <c r="I321" s="4" t="b">
        <v>0</v>
      </c>
      <c r="K321" s="4" t="b">
        <f>IF(COUNTIF($B$2:$B321,B321)&gt;1,TRUE,FALSE)</f>
        <v>1</v>
      </c>
      <c r="L321" t="str">
        <f t="shared" si="39"/>
        <v>p["file"].update({"map_layer":{"type":"string","subtype":"string","indent":1,"default_value":"","docs_url":"https://looker.com/docs/r/lookml/types/map_layer/file?version=7.14&amp;lookml=new","has_allowed_values":False,"allowed_values":""}})</v>
      </c>
      <c r="M321" t="str">
        <f t="shared" si="40"/>
        <v>{"file":{"map_layer":{"type":"string","subtype":"string","indent":1,"default_value":"","docs_url":"https://looker.com/docs/r/lookml/types/map_layer/file?version=7.14&amp;lookml=new","has_allowed_values":False,"allowed_values":""}}}</v>
      </c>
      <c r="N321" t="str">
        <f t="shared" si="41"/>
        <v>"type":"string",</v>
      </c>
      <c r="O321" t="str">
        <f t="shared" si="42"/>
        <v>"subtype":"string",</v>
      </c>
      <c r="P321" t="str">
        <f t="shared" si="43"/>
        <v>"indent":1,</v>
      </c>
      <c r="Q321" t="str">
        <f t="shared" si="47"/>
        <v>"default_value":"",</v>
      </c>
      <c r="R321" t="str">
        <f t="shared" si="44"/>
        <v>"docs_url":"https://looker.com/docs/r/lookml/types/map_layer/file?version=7.14&amp;lookml=new",</v>
      </c>
      <c r="S321" t="str">
        <f t="shared" si="45"/>
        <v>"has_allowed_values":False,</v>
      </c>
      <c r="T321" t="str">
        <f t="shared" si="46"/>
        <v>"allowed_values":""</v>
      </c>
    </row>
    <row r="322" spans="1:20" ht="13" hidden="1" x14ac:dyDescent="0.15">
      <c r="A322" s="7">
        <v>370</v>
      </c>
      <c r="B322" s="6" t="s">
        <v>524</v>
      </c>
      <c r="C322" s="3" t="s">
        <v>132</v>
      </c>
      <c r="D322" s="4" t="s">
        <v>550</v>
      </c>
      <c r="E322" s="4" t="s">
        <v>550</v>
      </c>
      <c r="F322" s="4">
        <v>1</v>
      </c>
      <c r="G322" s="4" t="s">
        <v>555</v>
      </c>
      <c r="H322" s="4" t="s">
        <v>456</v>
      </c>
      <c r="I322" s="4" t="b">
        <v>1</v>
      </c>
      <c r="J322" s="4" t="s">
        <v>553</v>
      </c>
      <c r="K322" s="4" t="b">
        <f>IF(COUNTIF($B$2:$B322,B322)&gt;1,TRUE,FALSE)</f>
        <v>0</v>
      </c>
      <c r="L322" t="str">
        <f t="shared" ref="L322:L385" si="48">IF(
K322,"p["""&amp;B322&amp;"""].update({"&amp;""""&amp;C322&amp;""":{"&amp;_xlfn.CONCAT(N322:T322)&amp;"}})","p.update("&amp;M322&amp;")"
)</f>
        <v>p.update({"format":{"map_layer":{"type":"options","subtype":"options","indent":1,"default_value":"topojson","docs_url":"https://looker.com/docs/r/lookml/types/map_layer/format?version=7.14&amp;lookml=new","has_allowed_values":True,"allowed_values":["topojson", "vector_tile_region"]}}})</v>
      </c>
      <c r="M322" t="str">
        <f t="shared" ref="M322:M385" si="49">"{"&amp;""""&amp;B322
&amp;""":{"&amp;""""&amp;C322&amp;""":{"&amp;_xlfn.CONCAT(N322:T322)&amp;"}}}"</f>
        <v>{"format":{"map_layer":{"type":"options","subtype":"options","indent":1,"default_value":"topojson","docs_url":"https://looker.com/docs/r/lookml/types/map_layer/format?version=7.14&amp;lookml=new","has_allowed_values":True,"allowed_values":["topojson", "vector_tile_region"]}}}</v>
      </c>
      <c r="N322" t="str">
        <f t="shared" si="41"/>
        <v>"type":"options",</v>
      </c>
      <c r="O322" t="str">
        <f t="shared" si="42"/>
        <v>"subtype":"options",</v>
      </c>
      <c r="P322" t="str">
        <f t="shared" si="43"/>
        <v>"indent":1,</v>
      </c>
      <c r="Q322" t="str">
        <f t="shared" si="47"/>
        <v>"default_value":"topojson",</v>
      </c>
      <c r="R322" t="str">
        <f t="shared" si="44"/>
        <v>"docs_url":"https://looker.com/docs/r/lookml/types/map_layer/format?version=7.14&amp;lookml=new",</v>
      </c>
      <c r="S322" t="str">
        <f t="shared" si="45"/>
        <v>"has_allowed_values":True,</v>
      </c>
      <c r="T322" t="str">
        <f t="shared" si="46"/>
        <v>"allowed_values":["topojson", "vector_tile_region"]</v>
      </c>
    </row>
    <row r="323" spans="1:20" ht="13" hidden="1" x14ac:dyDescent="0.15">
      <c r="A323" s="7">
        <v>371</v>
      </c>
      <c r="B323" s="6" t="s">
        <v>23</v>
      </c>
      <c r="C323" s="3" t="s">
        <v>132</v>
      </c>
      <c r="D323" s="4" t="s">
        <v>0</v>
      </c>
      <c r="E323" s="4" t="s">
        <v>0</v>
      </c>
      <c r="F323" s="4">
        <v>1</v>
      </c>
      <c r="G323" s="4" t="s">
        <v>591</v>
      </c>
      <c r="H323" s="4" t="s">
        <v>457</v>
      </c>
      <c r="I323" s="4" t="b">
        <v>0</v>
      </c>
      <c r="K323" s="4" t="b">
        <f>IF(COUNTIF($B$2:$B323,B323)&gt;1,TRUE,FALSE)</f>
        <v>1</v>
      </c>
      <c r="L323" t="str">
        <f t="shared" si="48"/>
        <v>p["label"].update({"map_layer":{"type":"string","subtype":"string","indent":1,"default_value":"","docs_url":"https://looker.com/docs/r/lookml/types/map_layer/label?version=7.14&amp;lookml=new","has_allowed_values":False,"allowed_values":""}})</v>
      </c>
      <c r="M323" t="str">
        <f t="shared" si="49"/>
        <v>{"label":{"map_layer":{"type":"string","subtype":"string","indent":1,"default_value":"","docs_url":"https://looker.com/docs/r/lookml/types/map_layer/label?version=7.14&amp;lookml=new","has_allowed_values":False,"allowed_values":""}}}</v>
      </c>
      <c r="N323" t="str">
        <f t="shared" ref="N323:N348" si="50">"""type"":"&amp;""""&amp;E323&amp;""","</f>
        <v>"type":"string",</v>
      </c>
      <c r="O323" t="str">
        <f t="shared" ref="O323:O347" si="51">"""subtype"":"&amp;""""&amp;D323&amp;""","</f>
        <v>"subtype":"string",</v>
      </c>
      <c r="P323" t="str">
        <f t="shared" ref="P323:P386" si="52">"""indent"":"&amp;F323&amp;","</f>
        <v>"indent":1,</v>
      </c>
      <c r="Q323" t="str">
        <f t="shared" si="47"/>
        <v>"default_value":"",</v>
      </c>
      <c r="R323" t="str">
        <f t="shared" ref="R323:R349" si="53">"""docs_url"":"&amp;""""&amp;H323&amp;""","</f>
        <v>"docs_url":"https://looker.com/docs/r/lookml/types/map_layer/label?version=7.14&amp;lookml=new",</v>
      </c>
      <c r="S323" t="str">
        <f t="shared" ref="S323:S349" si="54">"""has_allowed_values"":"&amp;IF(I323,"True,","False"&amp;",")</f>
        <v>"has_allowed_values":False,</v>
      </c>
      <c r="T323" t="str">
        <f t="shared" ref="T323:T386" si="55">"""allowed_values"":"&amp;IF(J323&lt;&gt;"",J323,"""""")</f>
        <v>"allowed_values":""</v>
      </c>
    </row>
    <row r="324" spans="1:20" ht="13" hidden="1" x14ac:dyDescent="0.15">
      <c r="A324" s="7">
        <v>372</v>
      </c>
      <c r="B324" s="6" t="s">
        <v>525</v>
      </c>
      <c r="C324" s="3" t="s">
        <v>132</v>
      </c>
      <c r="D324" s="4" t="s">
        <v>62</v>
      </c>
      <c r="E324" s="4" t="s">
        <v>598</v>
      </c>
      <c r="F324" s="4">
        <v>1</v>
      </c>
      <c r="G324" s="4">
        <v>12</v>
      </c>
      <c r="H324" s="4" t="s">
        <v>458</v>
      </c>
      <c r="I324" s="4" t="b">
        <v>0</v>
      </c>
      <c r="K324" s="4" t="b">
        <f>IF(COUNTIF($B$2:$B324,B324)&gt;1,TRUE,FALSE)</f>
        <v>0</v>
      </c>
      <c r="L324" t="str">
        <f t="shared" si="48"/>
        <v>p.update({"max_zoom_level":{"map_layer":{"type":"string_unquoted","subtype":"number","indent":1,"default_value":"12","docs_url":"https://looker.com/docs/r/lookml/types/map_layer/max_zoom_level?version=7.14&amp;lookml=new","has_allowed_values":False,"allowed_values":""}}})</v>
      </c>
      <c r="M324" t="str">
        <f t="shared" si="49"/>
        <v>{"max_zoom_level":{"map_layer":{"type":"string_unquoted","subtype":"number","indent":1,"default_value":"12","docs_url":"https://looker.com/docs/r/lookml/types/map_layer/max_zoom_level?version=7.14&amp;lookml=new","has_allowed_values":False,"allowed_values":""}}}</v>
      </c>
      <c r="N324" t="str">
        <f t="shared" si="50"/>
        <v>"type":"string_unquoted",</v>
      </c>
      <c r="O324" t="str">
        <f t="shared" si="51"/>
        <v>"subtype":"number",</v>
      </c>
      <c r="P324" t="str">
        <f t="shared" si="52"/>
        <v>"indent":1,</v>
      </c>
      <c r="Q324" t="str">
        <f t="shared" si="47"/>
        <v>"default_value":"12",</v>
      </c>
      <c r="R324" t="str">
        <f t="shared" si="53"/>
        <v>"docs_url":"https://looker.com/docs/r/lookml/types/map_layer/max_zoom_level?version=7.14&amp;lookml=new",</v>
      </c>
      <c r="S324" t="str">
        <f t="shared" si="54"/>
        <v>"has_allowed_values":False,</v>
      </c>
      <c r="T324" t="str">
        <f t="shared" si="55"/>
        <v>"allowed_values":""</v>
      </c>
    </row>
    <row r="325" spans="1:20" ht="13" hidden="1" x14ac:dyDescent="0.15">
      <c r="A325" s="7">
        <v>373</v>
      </c>
      <c r="B325" s="6" t="s">
        <v>526</v>
      </c>
      <c r="C325" s="3" t="s">
        <v>132</v>
      </c>
      <c r="D325" s="4" t="s">
        <v>62</v>
      </c>
      <c r="E325" s="4" t="s">
        <v>598</v>
      </c>
      <c r="F325" s="4">
        <v>1</v>
      </c>
      <c r="G325" s="4">
        <v>2</v>
      </c>
      <c r="H325" s="4" t="s">
        <v>459</v>
      </c>
      <c r="I325" s="4" t="b">
        <v>0</v>
      </c>
      <c r="K325" s="4" t="b">
        <f>IF(COUNTIF($B$2:$B325,B325)&gt;1,TRUE,FALSE)</f>
        <v>0</v>
      </c>
      <c r="L325" t="str">
        <f t="shared" si="48"/>
        <v>p.update({"min_zoom_level":{"map_layer":{"type":"string_unquoted","subtype":"number","indent":1,"default_value":"2","docs_url":"https://looker.com/docs/r/lookml/types/map_layer/min_zoom_level?version=7.14&amp;lookml=new","has_allowed_values":False,"allowed_values":""}}})</v>
      </c>
      <c r="M325" t="str">
        <f t="shared" si="49"/>
        <v>{"min_zoom_level":{"map_layer":{"type":"string_unquoted","subtype":"number","indent":1,"default_value":"2","docs_url":"https://looker.com/docs/r/lookml/types/map_layer/min_zoom_level?version=7.14&amp;lookml=new","has_allowed_values":False,"allowed_values":""}}}</v>
      </c>
      <c r="N325" t="str">
        <f t="shared" si="50"/>
        <v>"type":"string_unquoted",</v>
      </c>
      <c r="O325" t="str">
        <f t="shared" si="51"/>
        <v>"subtype":"number",</v>
      </c>
      <c r="P325" t="str">
        <f t="shared" si="52"/>
        <v>"indent":1,</v>
      </c>
      <c r="Q325" t="str">
        <f t="shared" si="47"/>
        <v>"default_value":"2",</v>
      </c>
      <c r="R325" t="str">
        <f t="shared" si="53"/>
        <v>"docs_url":"https://looker.com/docs/r/lookml/types/map_layer/min_zoom_level?version=7.14&amp;lookml=new",</v>
      </c>
      <c r="S325" t="str">
        <f t="shared" si="54"/>
        <v>"has_allowed_values":False,</v>
      </c>
      <c r="T325" t="str">
        <f t="shared" si="55"/>
        <v>"allowed_values":""</v>
      </c>
    </row>
    <row r="326" spans="1:20" ht="13" hidden="1" x14ac:dyDescent="0.15">
      <c r="A326" s="7">
        <v>374</v>
      </c>
      <c r="B326" s="6" t="s">
        <v>527</v>
      </c>
      <c r="C326" s="3" t="s">
        <v>132</v>
      </c>
      <c r="D326" s="4" t="s">
        <v>550</v>
      </c>
      <c r="E326" s="4" t="s">
        <v>550</v>
      </c>
      <c r="F326" s="4">
        <v>1</v>
      </c>
      <c r="G326" s="4" t="s">
        <v>551</v>
      </c>
      <c r="H326" s="4" t="s">
        <v>460</v>
      </c>
      <c r="I326" s="4" t="b">
        <v>1</v>
      </c>
      <c r="J326" s="4" t="s">
        <v>552</v>
      </c>
      <c r="K326" s="4" t="b">
        <f>IF(COUNTIF($B$2:$B326,B326)&gt;1,TRUE,FALSE)</f>
        <v>0</v>
      </c>
      <c r="L326" t="str">
        <f t="shared" si="48"/>
        <v>p.update({"projection":{"map_layer":{"type":"options","subtype":"options","indent":1,"default_value":"airy","docs_url":"https://looker.com/docs/r/lookml/types/map_layer/projection?version=7.14&amp;lookml=new","has_allowed_values":True,"allowed_values":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}}})</v>
      </c>
      <c r="M326" t="str">
        <f t="shared" si="49"/>
        <v>{"projection":{"map_layer":{"type":"options","subtype":"options","indent":1,"default_value":"airy","docs_url":"https://looker.com/docs/r/lookml/types/map_layer/projection?version=7.14&amp;lookml=new","has_allowed_values":True,"allowed_values":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}}}</v>
      </c>
      <c r="N326" t="str">
        <f t="shared" si="50"/>
        <v>"type":"options",</v>
      </c>
      <c r="O326" t="str">
        <f t="shared" si="51"/>
        <v>"subtype":"options",</v>
      </c>
      <c r="P326" t="str">
        <f t="shared" si="52"/>
        <v>"indent":1,</v>
      </c>
      <c r="Q326" t="str">
        <f t="shared" si="47"/>
        <v>"default_value":"airy",</v>
      </c>
      <c r="R326" t="str">
        <f t="shared" si="53"/>
        <v>"docs_url":"https://looker.com/docs/r/lookml/types/map_layer/projection?version=7.14&amp;lookml=new",</v>
      </c>
      <c r="S326" t="str">
        <f t="shared" si="54"/>
        <v>"has_allowed_values":True,</v>
      </c>
      <c r="T326" t="str">
        <f t="shared" si="55"/>
        <v>"allowed_values":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</v>
      </c>
    </row>
    <row r="327" spans="1:20" ht="13" hidden="1" x14ac:dyDescent="0.15">
      <c r="A327" s="7">
        <v>375</v>
      </c>
      <c r="B327" s="6" t="s">
        <v>528</v>
      </c>
      <c r="C327" s="3" t="s">
        <v>132</v>
      </c>
      <c r="D327" s="4" t="s">
        <v>0</v>
      </c>
      <c r="E327" s="4" t="s">
        <v>0</v>
      </c>
      <c r="F327" s="4">
        <v>1</v>
      </c>
      <c r="G327" s="4" t="s">
        <v>591</v>
      </c>
      <c r="H327" s="4" t="s">
        <v>461</v>
      </c>
      <c r="I327" s="4" t="b">
        <v>0</v>
      </c>
      <c r="K327" s="4" t="b">
        <f>IF(COUNTIF($B$2:$B327,B327)&gt;1,TRUE,FALSE)</f>
        <v>0</v>
      </c>
      <c r="L327" t="str">
        <f t="shared" si="48"/>
        <v>p.update({"property_key":{"map_layer":{"type":"string","subtype":"string","indent":1,"default_value":"","docs_url":"https://looker.com/docs/r/lookml/types/map_layer/property_key?version=7.14&amp;lookml=new","has_allowed_values":False,"allowed_values":""}}})</v>
      </c>
      <c r="M327" t="str">
        <f t="shared" si="49"/>
        <v>{"property_key":{"map_layer":{"type":"string","subtype":"string","indent":1,"default_value":"","docs_url":"https://looker.com/docs/r/lookml/types/map_layer/property_key?version=7.14&amp;lookml=new","has_allowed_values":False,"allowed_values":""}}}</v>
      </c>
      <c r="N327" t="str">
        <f t="shared" si="50"/>
        <v>"type":"string",</v>
      </c>
      <c r="O327" t="str">
        <f t="shared" si="51"/>
        <v>"subtype":"string",</v>
      </c>
      <c r="P327" t="str">
        <f t="shared" si="52"/>
        <v>"indent":1,</v>
      </c>
      <c r="Q327" t="str">
        <f t="shared" si="47"/>
        <v>"default_value":"",</v>
      </c>
      <c r="R327" t="str">
        <f t="shared" si="53"/>
        <v>"docs_url":"https://looker.com/docs/r/lookml/types/map_layer/property_key?version=7.14&amp;lookml=new",</v>
      </c>
      <c r="S327" t="str">
        <f t="shared" si="54"/>
        <v>"has_allowed_values":False,</v>
      </c>
      <c r="T327" t="str">
        <f t="shared" si="55"/>
        <v>"allowed_values":""</v>
      </c>
    </row>
    <row r="328" spans="1:20" ht="13" hidden="1" x14ac:dyDescent="0.15">
      <c r="A328" s="7">
        <v>376</v>
      </c>
      <c r="B328" s="6" t="s">
        <v>529</v>
      </c>
      <c r="C328" s="3" t="s">
        <v>132</v>
      </c>
      <c r="D328" s="4" t="s">
        <v>0</v>
      </c>
      <c r="E328" s="4" t="s">
        <v>0</v>
      </c>
      <c r="F328" s="4">
        <v>1</v>
      </c>
      <c r="G328" s="4" t="s">
        <v>591</v>
      </c>
      <c r="H328" s="4" t="s">
        <v>462</v>
      </c>
      <c r="I328" s="4" t="b">
        <v>0</v>
      </c>
      <c r="K328" s="4" t="b">
        <f>IF(COUNTIF($B$2:$B328,B328)&gt;1,TRUE,FALSE)</f>
        <v>0</v>
      </c>
      <c r="L328" t="str">
        <f t="shared" si="48"/>
        <v>p.update({"property_label_key":{"map_layer":{"type":"string","subtype":"string","indent":1,"default_value":"","docs_url":"https://looker.com/docs/r/lookml/types/map_layer/property_label_key?version=7.14&amp;lookml=new","has_allowed_values":False,"allowed_values":""}}})</v>
      </c>
      <c r="M328" t="str">
        <f t="shared" si="49"/>
        <v>{"property_label_key":{"map_layer":{"type":"string","subtype":"string","indent":1,"default_value":"","docs_url":"https://looker.com/docs/r/lookml/types/map_layer/property_label_key?version=7.14&amp;lookml=new","has_allowed_values":False,"allowed_values":""}}}</v>
      </c>
      <c r="N328" t="str">
        <f t="shared" si="50"/>
        <v>"type":"string",</v>
      </c>
      <c r="O328" t="str">
        <f t="shared" si="51"/>
        <v>"subtype":"string",</v>
      </c>
      <c r="P328" t="str">
        <f t="shared" si="52"/>
        <v>"indent":1,</v>
      </c>
      <c r="Q328" t="str">
        <f t="shared" si="47"/>
        <v>"default_value":"",</v>
      </c>
      <c r="R328" t="str">
        <f t="shared" si="53"/>
        <v>"docs_url":"https://looker.com/docs/r/lookml/types/map_layer/property_label_key?version=7.14&amp;lookml=new",</v>
      </c>
      <c r="S328" t="str">
        <f t="shared" si="54"/>
        <v>"has_allowed_values":False,</v>
      </c>
      <c r="T328" t="str">
        <f t="shared" si="55"/>
        <v>"allowed_values":""</v>
      </c>
    </row>
    <row r="329" spans="1:20" ht="13" hidden="1" x14ac:dyDescent="0.15">
      <c r="A329" s="7">
        <v>377</v>
      </c>
      <c r="B329" s="6" t="s">
        <v>494</v>
      </c>
      <c r="C329" s="3" t="s">
        <v>132</v>
      </c>
      <c r="D329" s="4" t="s">
        <v>0</v>
      </c>
      <c r="E329" s="4" t="s">
        <v>0</v>
      </c>
      <c r="F329" s="4">
        <v>1</v>
      </c>
      <c r="G329" s="4" t="s">
        <v>591</v>
      </c>
      <c r="H329" s="4" t="s">
        <v>463</v>
      </c>
      <c r="I329" s="4" t="b">
        <v>0</v>
      </c>
      <c r="K329" s="4" t="b">
        <f>IF(COUNTIF($B$2:$B329,B329)&gt;1,TRUE,FALSE)</f>
        <v>1</v>
      </c>
      <c r="L329" t="str">
        <f t="shared" si="48"/>
        <v>p["url"].update({"map_layer":{"type":"string","subtype":"string","indent":1,"default_value":"","docs_url":"https://looker.com/docs/r/lookml/types/map_layer/url?version=7.14&amp;lookml=new","has_allowed_values":False,"allowed_values":""}})</v>
      </c>
      <c r="M329" t="str">
        <f t="shared" si="49"/>
        <v>{"url":{"map_layer":{"type":"string","subtype":"string","indent":1,"default_value":"","docs_url":"https://looker.com/docs/r/lookml/types/map_layer/url?version=7.14&amp;lookml=new","has_allowed_values":False,"allowed_values":""}}}</v>
      </c>
      <c r="N329" t="str">
        <f t="shared" si="50"/>
        <v>"type":"string",</v>
      </c>
      <c r="O329" t="str">
        <f t="shared" si="51"/>
        <v>"subtype":"string",</v>
      </c>
      <c r="P329" t="str">
        <f t="shared" si="52"/>
        <v>"indent":1,</v>
      </c>
      <c r="Q329" t="str">
        <f t="shared" si="47"/>
        <v>"default_value":"",</v>
      </c>
      <c r="R329" t="str">
        <f t="shared" si="53"/>
        <v>"docs_url":"https://looker.com/docs/r/lookml/types/map_layer/url?version=7.14&amp;lookml=new",</v>
      </c>
      <c r="S329" t="str">
        <f t="shared" si="54"/>
        <v>"has_allowed_values":False,</v>
      </c>
      <c r="T329" t="str">
        <f t="shared" si="55"/>
        <v>"allowed_values":""</v>
      </c>
    </row>
    <row r="330" spans="1:20" ht="13" hidden="1" x14ac:dyDescent="0.15">
      <c r="A330" s="7">
        <v>380</v>
      </c>
      <c r="B330" s="6" t="s">
        <v>73</v>
      </c>
      <c r="C330" s="3" t="s">
        <v>133</v>
      </c>
      <c r="D330" s="4" t="s">
        <v>15</v>
      </c>
      <c r="E330" s="1" t="s">
        <v>598</v>
      </c>
      <c r="F330" s="4">
        <v>1</v>
      </c>
      <c r="H330" s="10" t="s">
        <v>464</v>
      </c>
      <c r="I330" s="4" t="b">
        <v>0</v>
      </c>
      <c r="K330" s="4" t="b">
        <f>IF(COUNTIF($B$2:$B330,B330)&gt;1,TRUE,FALSE)</f>
        <v>1</v>
      </c>
      <c r="L330" t="str">
        <f t="shared" si="48"/>
        <v>p["explore_source"].update({"test":{"type":"string_unquoted","subtype":"explore-ref","indent":1,"default_value":"","docs_url":"https://looker.com/docs/r/lookml/types/test/explore_source?version=7.14&amp;lookml=new","has_allowed_values":False,"allowed_values":""}})</v>
      </c>
      <c r="M330" t="str">
        <f t="shared" si="49"/>
        <v>{"explore_source":{"test":{"type":"string_unquoted","subtype":"explore-ref","indent":1,"default_value":"","docs_url":"https://looker.com/docs/r/lookml/types/test/explore_source?version=7.14&amp;lookml=new","has_allowed_values":False,"allowed_values":""}}}</v>
      </c>
      <c r="N330" t="str">
        <f t="shared" si="50"/>
        <v>"type":"string_unquoted",</v>
      </c>
      <c r="O330" t="str">
        <f t="shared" si="51"/>
        <v>"subtype":"explore-ref",</v>
      </c>
      <c r="P330" t="str">
        <f t="shared" si="52"/>
        <v>"indent":1,</v>
      </c>
      <c r="Q330" t="str">
        <f t="shared" si="47"/>
        <v>"default_value":"",</v>
      </c>
      <c r="R330" t="str">
        <f t="shared" si="53"/>
        <v>"docs_url":"https://looker.com/docs/r/lookml/types/test/explore_source?version=7.14&amp;lookml=new",</v>
      </c>
      <c r="S330" t="str">
        <f t="shared" si="54"/>
        <v>"has_allowed_values":False,</v>
      </c>
      <c r="T330" t="str">
        <f t="shared" si="55"/>
        <v>"allowed_values":""</v>
      </c>
    </row>
    <row r="331" spans="1:20" ht="13" hidden="1" x14ac:dyDescent="0.15">
      <c r="A331" s="7">
        <v>381</v>
      </c>
      <c r="B331" s="6" t="s">
        <v>530</v>
      </c>
      <c r="C331" s="3" t="s">
        <v>133</v>
      </c>
      <c r="D331" s="4" t="s">
        <v>95</v>
      </c>
      <c r="E331" s="4" t="s">
        <v>592</v>
      </c>
      <c r="F331" s="4">
        <v>1</v>
      </c>
      <c r="H331" s="4" t="s">
        <v>465</v>
      </c>
      <c r="I331" s="4" t="b">
        <v>0</v>
      </c>
      <c r="K331" s="4" t="b">
        <f>IF(COUNTIF($B$2:$B331,B331)&gt;1,TRUE,FALSE)</f>
        <v>0</v>
      </c>
      <c r="L331" t="str">
        <f t="shared" si="48"/>
        <v>p.update({"assert":{"test":{"type":"named_construct","subtype":"identifier","indent":1,"default_value":"","docs_url":"https://looker.com/docs/r/lookml/types/test/assert?version=7.14&amp;lookml=new","has_allowed_values":False,"allowed_values":""}}})</v>
      </c>
      <c r="M331" t="str">
        <f t="shared" si="49"/>
        <v>{"assert":{"test":{"type":"named_construct","subtype":"identifier","indent":1,"default_value":"","docs_url":"https://looker.com/docs/r/lookml/types/test/assert?version=7.14&amp;lookml=new","has_allowed_values":False,"allowed_values":""}}}</v>
      </c>
      <c r="N331" t="str">
        <f t="shared" si="50"/>
        <v>"type":"named_construct",</v>
      </c>
      <c r="O331" t="str">
        <f t="shared" si="51"/>
        <v>"subtype":"identifier",</v>
      </c>
      <c r="P331" t="str">
        <f t="shared" si="52"/>
        <v>"indent":1,</v>
      </c>
      <c r="Q331" t="str">
        <f t="shared" si="47"/>
        <v>"default_value":"",</v>
      </c>
      <c r="R331" t="str">
        <f t="shared" si="53"/>
        <v>"docs_url":"https://looker.com/docs/r/lookml/types/test/assert?version=7.14&amp;lookml=new",</v>
      </c>
      <c r="S331" t="str">
        <f t="shared" si="54"/>
        <v>"has_allowed_values":False,</v>
      </c>
      <c r="T331" t="str">
        <f t="shared" si="55"/>
        <v>"allowed_values":""</v>
      </c>
    </row>
    <row r="332" spans="1:20" ht="13" hidden="1" x14ac:dyDescent="0.15">
      <c r="A332" s="7">
        <v>384</v>
      </c>
      <c r="B332" s="6" t="s">
        <v>531</v>
      </c>
      <c r="C332" s="3" t="s">
        <v>134</v>
      </c>
      <c r="D332" s="4" t="s">
        <v>0</v>
      </c>
      <c r="E332" s="4" t="s">
        <v>0</v>
      </c>
      <c r="F332" s="4">
        <v>1</v>
      </c>
      <c r="G332" s="4" t="s">
        <v>591</v>
      </c>
      <c r="H332" s="4" t="s">
        <v>466</v>
      </c>
      <c r="I332" s="4" t="b">
        <v>0</v>
      </c>
      <c r="K332" s="4" t="b">
        <f>IF(COUNTIF($B$2:$B332,B332)&gt;1,TRUE,FALSE)</f>
        <v>0</v>
      </c>
      <c r="L332" t="str">
        <f t="shared" si="48"/>
        <v>p.update({"max_cache_age":{"datagroup":{"type":"string","subtype":"string","indent":1,"default_value":"","docs_url":"https://looker.com/docs/r/lookml/types/datagroup/max_cache_age?version=7.14&amp;lookml=new","has_allowed_values":False,"allowed_values":""}}})</v>
      </c>
      <c r="M332" t="str">
        <f t="shared" si="49"/>
        <v>{"max_cache_age":{"datagroup":{"type":"string","subtype":"string","indent":1,"default_value":"","docs_url":"https://looker.com/docs/r/lookml/types/datagroup/max_cache_age?version=7.14&amp;lookml=new","has_allowed_values":False,"allowed_values":""}}}</v>
      </c>
      <c r="N332" t="str">
        <f t="shared" si="50"/>
        <v>"type":"string",</v>
      </c>
      <c r="O332" t="str">
        <f t="shared" si="51"/>
        <v>"subtype":"string",</v>
      </c>
      <c r="P332" t="str">
        <f t="shared" si="52"/>
        <v>"indent":1,</v>
      </c>
      <c r="Q332" t="str">
        <f t="shared" ref="Q332:Q349" si="56">"""default_value"":"&amp;IF(G332="""""",""""",",IF(LEFT(G332,1)="[",G332,""""&amp;G332&amp;"""")&amp;",")</f>
        <v>"default_value":"",</v>
      </c>
      <c r="R332" t="str">
        <f t="shared" si="53"/>
        <v>"docs_url":"https://looker.com/docs/r/lookml/types/datagroup/max_cache_age?version=7.14&amp;lookml=new",</v>
      </c>
      <c r="S332" t="str">
        <f t="shared" si="54"/>
        <v>"has_allowed_values":False,</v>
      </c>
      <c r="T332" t="str">
        <f t="shared" si="55"/>
        <v>"allowed_values":""</v>
      </c>
    </row>
    <row r="333" spans="1:20" ht="13" hidden="1" x14ac:dyDescent="0.15">
      <c r="A333" s="7">
        <v>385</v>
      </c>
      <c r="B333" s="6" t="s">
        <v>532</v>
      </c>
      <c r="C333" s="3" t="s">
        <v>134</v>
      </c>
      <c r="D333" s="4" t="s">
        <v>611</v>
      </c>
      <c r="E333" s="4" t="s">
        <v>34</v>
      </c>
      <c r="F333" s="4">
        <v>1</v>
      </c>
      <c r="G333" s="4" t="s">
        <v>591</v>
      </c>
      <c r="H333" s="4" t="s">
        <v>467</v>
      </c>
      <c r="I333" s="4" t="b">
        <v>0</v>
      </c>
      <c r="K333" s="4" t="b">
        <f>IF(COUNTIF($B$2:$B333,B333)&gt;1,TRUE,FALSE)</f>
        <v>0</v>
      </c>
      <c r="L333" t="str">
        <f t="shared" si="48"/>
        <v>p.update({"sql_trigger":{"datagroup":{"type":"sql","subtype":"sql-block ","indent":1,"default_value":"","docs_url":"https://looker.com/docs/r/lookml/types/datagroup/sql_trigger?version=7.14&amp;lookml=new","has_allowed_values":False,"allowed_values":""}}})</v>
      </c>
      <c r="M333" t="str">
        <f t="shared" si="49"/>
        <v>{"sql_trigger":{"datagroup":{"type":"sql","subtype":"sql-block ","indent":1,"default_value":"","docs_url":"https://looker.com/docs/r/lookml/types/datagroup/sql_trigger?version=7.14&amp;lookml=new","has_allowed_values":False,"allowed_values":""}}}</v>
      </c>
      <c r="N333" t="str">
        <f t="shared" si="50"/>
        <v>"type":"sql",</v>
      </c>
      <c r="O333" t="str">
        <f t="shared" si="51"/>
        <v>"subtype":"sql-block ",</v>
      </c>
      <c r="P333" t="str">
        <f t="shared" si="52"/>
        <v>"indent":1,</v>
      </c>
      <c r="Q333" t="str">
        <f t="shared" si="56"/>
        <v>"default_value":"",</v>
      </c>
      <c r="R333" t="str">
        <f t="shared" si="53"/>
        <v>"docs_url":"https://looker.com/docs/r/lookml/types/datagroup/sql_trigger?version=7.14&amp;lookml=new",</v>
      </c>
      <c r="S333" t="str">
        <f t="shared" si="54"/>
        <v>"has_allowed_values":False,</v>
      </c>
      <c r="T333" t="str">
        <f t="shared" si="55"/>
        <v>"allowed_values":""</v>
      </c>
    </row>
    <row r="334" spans="1:20" ht="13" hidden="1" x14ac:dyDescent="0.15">
      <c r="A334" s="7">
        <v>386</v>
      </c>
      <c r="B334" s="6" t="s">
        <v>23</v>
      </c>
      <c r="C334" s="3" t="s">
        <v>134</v>
      </c>
      <c r="D334" s="4" t="s">
        <v>29</v>
      </c>
      <c r="E334" s="4" t="s">
        <v>0</v>
      </c>
      <c r="F334" s="4">
        <v>1</v>
      </c>
      <c r="G334" s="4" t="s">
        <v>591</v>
      </c>
      <c r="H334" s="4" t="s">
        <v>468</v>
      </c>
      <c r="I334" s="4" t="b">
        <v>0</v>
      </c>
      <c r="K334" s="4" t="b">
        <f>IF(COUNTIF($B$2:$B334,B334)&gt;1,TRUE,FALSE)</f>
        <v>1</v>
      </c>
      <c r="L334" t="str">
        <f t="shared" si="48"/>
        <v>p["label"].update({"datagroup":{"type":"string","subtype":"possibly-localized-string","indent":1,"default_value":"","docs_url":"https://looker.com/docs/r/lookml/types/datagroup/label?version=7.14&amp;lookml=new","has_allowed_values":False,"allowed_values":""}})</v>
      </c>
      <c r="M334" t="str">
        <f t="shared" si="49"/>
        <v>{"label":{"datagroup":{"type":"string","subtype":"possibly-localized-string","indent":1,"default_value":"","docs_url":"https://looker.com/docs/r/lookml/types/datagroup/label?version=7.14&amp;lookml=new","has_allowed_values":False,"allowed_values":""}}}</v>
      </c>
      <c r="N334" t="str">
        <f t="shared" si="50"/>
        <v>"type":"string",</v>
      </c>
      <c r="O334" t="str">
        <f t="shared" si="51"/>
        <v>"subtype":"possibly-localized-string",</v>
      </c>
      <c r="P334" t="str">
        <f t="shared" si="52"/>
        <v>"indent":1,</v>
      </c>
      <c r="Q334" t="str">
        <f t="shared" si="56"/>
        <v>"default_value":"",</v>
      </c>
      <c r="R334" t="str">
        <f t="shared" si="53"/>
        <v>"docs_url":"https://looker.com/docs/r/lookml/types/datagroup/label?version=7.14&amp;lookml=new",</v>
      </c>
      <c r="S334" t="str">
        <f t="shared" si="54"/>
        <v>"has_allowed_values":False,</v>
      </c>
      <c r="T334" t="str">
        <f t="shared" si="55"/>
        <v>"allowed_values":""</v>
      </c>
    </row>
    <row r="335" spans="1:20" ht="13" hidden="1" x14ac:dyDescent="0.15">
      <c r="A335" s="7">
        <v>387</v>
      </c>
      <c r="B335" s="6" t="s">
        <v>11</v>
      </c>
      <c r="C335" s="3" t="s">
        <v>134</v>
      </c>
      <c r="D335" s="4" t="s">
        <v>29</v>
      </c>
      <c r="E335" s="4" t="s">
        <v>0</v>
      </c>
      <c r="F335" s="4">
        <v>1</v>
      </c>
      <c r="G335" s="4" t="s">
        <v>591</v>
      </c>
      <c r="H335" s="4" t="s">
        <v>469</v>
      </c>
      <c r="I335" s="4" t="b">
        <v>0</v>
      </c>
      <c r="K335" s="4" t="b">
        <f>IF(COUNTIF($B$2:$B335,B335)&gt;1,TRUE,FALSE)</f>
        <v>1</v>
      </c>
      <c r="L335" t="str">
        <f t="shared" si="48"/>
        <v>p["description"].update({"datagroup":{"type":"string","subtype":"possibly-localized-string","indent":1,"default_value":"","docs_url":"https://looker.com/docs/r/lookml/types/datagroup/description?version=7.14&amp;lookml=new","has_allowed_values":False,"allowed_values":""}})</v>
      </c>
      <c r="M335" t="str">
        <f t="shared" si="49"/>
        <v>{"description":{"datagroup":{"type":"string","subtype":"possibly-localized-string","indent":1,"default_value":"","docs_url":"https://looker.com/docs/r/lookml/types/datagroup/description?version=7.14&amp;lookml=new","has_allowed_values":False,"allowed_values":""}}}</v>
      </c>
      <c r="N335" t="str">
        <f t="shared" si="50"/>
        <v>"type":"string",</v>
      </c>
      <c r="O335" t="str">
        <f t="shared" si="51"/>
        <v>"subtype":"possibly-localized-string",</v>
      </c>
      <c r="P335" t="str">
        <f t="shared" si="52"/>
        <v>"indent":1,</v>
      </c>
      <c r="Q335" t="str">
        <f t="shared" si="56"/>
        <v>"default_value":"",</v>
      </c>
      <c r="R335" t="str">
        <f t="shared" si="53"/>
        <v>"docs_url":"https://looker.com/docs/r/lookml/types/datagroup/description?version=7.14&amp;lookml=new",</v>
      </c>
      <c r="S335" t="str">
        <f t="shared" si="54"/>
        <v>"has_allowed_values":False,</v>
      </c>
      <c r="T335" t="str">
        <f t="shared" si="55"/>
        <v>"allowed_values":""</v>
      </c>
    </row>
    <row r="336" spans="1:20" ht="13" hidden="1" x14ac:dyDescent="0.15">
      <c r="A336" s="7">
        <v>390</v>
      </c>
      <c r="B336" s="6" t="s">
        <v>52</v>
      </c>
      <c r="C336" s="3" t="s">
        <v>135</v>
      </c>
      <c r="D336" s="4" t="s">
        <v>0</v>
      </c>
      <c r="E336" s="4" t="s">
        <v>0</v>
      </c>
      <c r="F336" s="4">
        <v>1</v>
      </c>
      <c r="G336" s="4" t="s">
        <v>591</v>
      </c>
      <c r="H336" s="4" t="s">
        <v>470</v>
      </c>
      <c r="I336" s="4" t="b">
        <v>0</v>
      </c>
      <c r="K336" s="4" t="b">
        <f>IF(COUNTIF($B$2:$B336,B336)&gt;1,TRUE,FALSE)</f>
        <v>1</v>
      </c>
      <c r="L336" t="str">
        <f t="shared" si="48"/>
        <v>p["value_format"].update({"named_value_format":{"type":"string","subtype":"string","indent":1,"default_value":"","docs_url":"https://looker.com/docs/r/lookml/types/named_value_format/value_format?version=7.14&amp;lookml=new","has_allowed_values":False,"allowed_values":""}})</v>
      </c>
      <c r="M336" t="str">
        <f t="shared" si="49"/>
        <v>{"value_format":{"named_value_format":{"type":"string","subtype":"string","indent":1,"default_value":"","docs_url":"https://looker.com/docs/r/lookml/types/named_value_format/value_format?version=7.14&amp;lookml=new","has_allowed_values":False,"allowed_values":""}}}</v>
      </c>
      <c r="N336" t="str">
        <f t="shared" si="50"/>
        <v>"type":"string",</v>
      </c>
      <c r="O336" t="str">
        <f t="shared" si="51"/>
        <v>"subtype":"string",</v>
      </c>
      <c r="P336" t="str">
        <f t="shared" si="52"/>
        <v>"indent":1,</v>
      </c>
      <c r="Q336" t="str">
        <f t="shared" si="56"/>
        <v>"default_value":"",</v>
      </c>
      <c r="R336" t="str">
        <f t="shared" si="53"/>
        <v>"docs_url":"https://looker.com/docs/r/lookml/types/named_value_format/value_format?version=7.14&amp;lookml=new",</v>
      </c>
      <c r="S336" t="str">
        <f t="shared" si="54"/>
        <v>"has_allowed_values":False,</v>
      </c>
      <c r="T336" t="str">
        <f t="shared" si="55"/>
        <v>"allowed_values":""</v>
      </c>
    </row>
    <row r="337" spans="1:20" ht="13" hidden="1" x14ac:dyDescent="0.15">
      <c r="A337" s="7">
        <v>391</v>
      </c>
      <c r="B337" s="6" t="s">
        <v>533</v>
      </c>
      <c r="C337" s="3" t="s">
        <v>135</v>
      </c>
      <c r="D337" s="4" t="s">
        <v>568</v>
      </c>
      <c r="E337" s="4" t="s">
        <v>568</v>
      </c>
      <c r="F337" s="4">
        <v>1</v>
      </c>
      <c r="G337" s="4" t="s">
        <v>603</v>
      </c>
      <c r="H337" s="4" t="s">
        <v>471</v>
      </c>
      <c r="I337" s="4" t="b">
        <v>0</v>
      </c>
      <c r="K337" s="4" t="b">
        <f>IF(COUNTIF($B$2:$B337,B337)&gt;1,TRUE,FALSE)</f>
        <v>0</v>
      </c>
      <c r="L337" t="str">
        <f t="shared" si="48"/>
        <v>p.update({"strict_value_format":{"named_value_format":{"type":"yesno","subtype":"yesno","indent":1,"default_value":"no","docs_url":"https://looker.com/docs/r/lookml/types/named_value_format/strict_value_format?version=7.14&amp;lookml=new","has_allowed_values":False,"allowed_values":""}}})</v>
      </c>
      <c r="M337" t="str">
        <f t="shared" si="49"/>
        <v>{"strict_value_format":{"named_value_format":{"type":"yesno","subtype":"yesno","indent":1,"default_value":"no","docs_url":"https://looker.com/docs/r/lookml/types/named_value_format/strict_value_format?version=7.14&amp;lookml=new","has_allowed_values":False,"allowed_values":""}}}</v>
      </c>
      <c r="N337" t="str">
        <f t="shared" si="50"/>
        <v>"type":"yesno",</v>
      </c>
      <c r="O337" t="str">
        <f t="shared" si="51"/>
        <v>"subtype":"yesno",</v>
      </c>
      <c r="P337" t="str">
        <f t="shared" si="52"/>
        <v>"indent":1,</v>
      </c>
      <c r="Q337" t="str">
        <f t="shared" si="56"/>
        <v>"default_value":"no",</v>
      </c>
      <c r="R337" t="str">
        <f t="shared" si="53"/>
        <v>"docs_url":"https://looker.com/docs/r/lookml/types/named_value_format/strict_value_format?version=7.14&amp;lookml=new",</v>
      </c>
      <c r="S337" t="str">
        <f t="shared" si="54"/>
        <v>"has_allowed_values":False,</v>
      </c>
      <c r="T337" t="str">
        <f t="shared" si="55"/>
        <v>"allowed_values":""</v>
      </c>
    </row>
    <row r="338" spans="1:20" ht="13" hidden="1" x14ac:dyDescent="0.15">
      <c r="A338" s="7">
        <v>394</v>
      </c>
      <c r="B338" s="6" t="s">
        <v>92</v>
      </c>
      <c r="C338" s="3" t="s">
        <v>136</v>
      </c>
      <c r="D338" s="4" t="s">
        <v>17</v>
      </c>
      <c r="E338" s="4" t="s">
        <v>595</v>
      </c>
      <c r="F338" s="4">
        <v>2</v>
      </c>
      <c r="H338" s="4" t="s">
        <v>472</v>
      </c>
      <c r="I338" s="4" t="b">
        <v>0</v>
      </c>
      <c r="K338" s="4" t="b">
        <f>IF(COUNTIF($B$2:$B338,B338)&gt;1,TRUE,FALSE)</f>
        <v>1</v>
      </c>
      <c r="L338" t="str">
        <f t="shared" si="48"/>
        <v>p["fields"].update({"set":{"type":"list_unquoted","subtype":"field-ref","indent":2,"default_value":"","docs_url":"https://looker.com/docs/r/lookml/types/set/fields?version=7.14&amp;lookml=new","has_allowed_values":False,"allowed_values":""}})</v>
      </c>
      <c r="M338" t="str">
        <f t="shared" si="49"/>
        <v>{"fields":{"set":{"type":"list_unquoted","subtype":"field-ref","indent":2,"default_value":"","docs_url":"https://looker.com/docs/r/lookml/types/set/fields?version=7.14&amp;lookml=new","has_allowed_values":False,"allowed_values":""}}}</v>
      </c>
      <c r="N338" t="str">
        <f t="shared" si="50"/>
        <v>"type":"list_unquoted",</v>
      </c>
      <c r="O338" t="str">
        <f t="shared" si="51"/>
        <v>"subtype":"field-ref",</v>
      </c>
      <c r="P338" t="str">
        <f t="shared" si="52"/>
        <v>"indent":2,</v>
      </c>
      <c r="Q338" t="str">
        <f t="shared" si="56"/>
        <v>"default_value":"",</v>
      </c>
      <c r="R338" t="str">
        <f t="shared" si="53"/>
        <v>"docs_url":"https://looker.com/docs/r/lookml/types/set/fields?version=7.14&amp;lookml=new",</v>
      </c>
      <c r="S338" t="str">
        <f t="shared" si="54"/>
        <v>"has_allowed_values":False,</v>
      </c>
      <c r="T338" t="str">
        <f t="shared" si="55"/>
        <v>"allowed_values":""</v>
      </c>
    </row>
    <row r="339" spans="1:20" ht="13" hidden="1" x14ac:dyDescent="0.15">
      <c r="A339" s="7">
        <v>397</v>
      </c>
      <c r="B339" s="6" t="s">
        <v>23</v>
      </c>
      <c r="C339" s="4" t="s">
        <v>517</v>
      </c>
      <c r="D339" s="4" t="s">
        <v>0</v>
      </c>
      <c r="E339" s="4" t="s">
        <v>0</v>
      </c>
      <c r="F339" s="4">
        <v>5</v>
      </c>
      <c r="G339" s="4" t="s">
        <v>591</v>
      </c>
      <c r="H339" s="5" t="s">
        <v>447</v>
      </c>
      <c r="I339" s="4" t="b">
        <v>0</v>
      </c>
      <c r="K339" s="4" t="b">
        <f>IF(COUNTIF($B$2:$B339,B339)&gt;1,TRUE,FALSE)</f>
        <v>1</v>
      </c>
      <c r="L339" t="str">
        <f t="shared" si="48"/>
        <v>p["label"].update({"when":{"type":"string","subtype":"string","indent":5,"default_value":"","docs_url":"https://looker.com/docs/r/lookml/types/case/when?version=7.14&amp;lookml=new","has_allowed_values":False,"allowed_values":""}})</v>
      </c>
      <c r="M339" t="str">
        <f t="shared" si="49"/>
        <v>{"label":{"when":{"type":"string","subtype":"string","indent":5,"default_value":"","docs_url":"https://looker.com/docs/r/lookml/types/case/when?version=7.14&amp;lookml=new","has_allowed_values":False,"allowed_values":""}}}</v>
      </c>
      <c r="N339" t="str">
        <f t="shared" si="50"/>
        <v>"type":"string",</v>
      </c>
      <c r="O339" t="str">
        <f t="shared" si="51"/>
        <v>"subtype":"string",</v>
      </c>
      <c r="P339" t="str">
        <f t="shared" si="52"/>
        <v>"indent":5,</v>
      </c>
      <c r="Q339" t="str">
        <f t="shared" si="56"/>
        <v>"default_value":"",</v>
      </c>
      <c r="R339" t="str">
        <f t="shared" si="53"/>
        <v>"docs_url":"https://looker.com/docs/r/lookml/types/case/when?version=7.14&amp;lookml=new",</v>
      </c>
      <c r="S339" t="str">
        <f t="shared" si="54"/>
        <v>"has_allowed_values":False,</v>
      </c>
      <c r="T339" t="str">
        <f t="shared" si="55"/>
        <v>"allowed_values":""</v>
      </c>
    </row>
    <row r="340" spans="1:20" ht="15" hidden="1" customHeight="1" x14ac:dyDescent="0.15">
      <c r="A340" s="7">
        <v>398</v>
      </c>
      <c r="B340" s="6" t="s">
        <v>34</v>
      </c>
      <c r="C340" s="4" t="s">
        <v>517</v>
      </c>
      <c r="D340" s="4" t="s">
        <v>611</v>
      </c>
      <c r="E340" s="4" t="s">
        <v>34</v>
      </c>
      <c r="F340" s="4">
        <v>5</v>
      </c>
      <c r="G340" s="4" t="s">
        <v>591</v>
      </c>
      <c r="H340" s="5" t="s">
        <v>447</v>
      </c>
      <c r="I340" s="4" t="b">
        <v>0</v>
      </c>
      <c r="K340" s="4" t="b">
        <f>IF(COUNTIF($B$2:$B340,B340)&gt;1,TRUE,FALSE)</f>
        <v>1</v>
      </c>
      <c r="L340" t="str">
        <f t="shared" si="48"/>
        <v>p["sql"].update({"when":{"type":"sql","subtype":"sql-block ","indent":5,"default_value":"","docs_url":"https://looker.com/docs/r/lookml/types/case/when?version=7.14&amp;lookml=new","has_allowed_values":False,"allowed_values":""}})</v>
      </c>
      <c r="M340" t="str">
        <f t="shared" si="49"/>
        <v>{"sql":{"when":{"type":"sql","subtype":"sql-block ","indent":5,"default_value":"","docs_url":"https://looker.com/docs/r/lookml/types/case/when?version=7.14&amp;lookml=new","has_allowed_values":False,"allowed_values":""}}}</v>
      </c>
      <c r="N340" t="str">
        <f t="shared" si="50"/>
        <v>"type":"sql",</v>
      </c>
      <c r="O340" t="str">
        <f t="shared" si="51"/>
        <v>"subtype":"sql-block ",</v>
      </c>
      <c r="P340" t="str">
        <f t="shared" si="52"/>
        <v>"indent":5,</v>
      </c>
      <c r="Q340" t="str">
        <f t="shared" si="56"/>
        <v>"default_value":"",</v>
      </c>
      <c r="R340" t="str">
        <f t="shared" si="53"/>
        <v>"docs_url":"https://looker.com/docs/r/lookml/types/case/when?version=7.14&amp;lookml=new",</v>
      </c>
      <c r="S340" t="str">
        <f t="shared" si="54"/>
        <v>"has_allowed_values":False,</v>
      </c>
      <c r="T340" t="str">
        <f t="shared" si="55"/>
        <v>"allowed_values":""</v>
      </c>
    </row>
    <row r="341" spans="1:20" ht="15" hidden="1" customHeight="1" x14ac:dyDescent="0.15">
      <c r="A341" s="7">
        <v>401</v>
      </c>
      <c r="B341" s="6" t="s">
        <v>121</v>
      </c>
      <c r="C341" s="4" t="s">
        <v>473</v>
      </c>
      <c r="D341" s="4" t="s">
        <v>597</v>
      </c>
      <c r="E341" s="4" t="s">
        <v>597</v>
      </c>
      <c r="F341" s="4">
        <v>1</v>
      </c>
      <c r="H341" s="5" t="s">
        <v>541</v>
      </c>
      <c r="I341" s="4" t="b">
        <v>0</v>
      </c>
      <c r="K341" s="4" t="b">
        <f>IF(COUNTIF($B$2:$B341,B341)&gt;1,TRUE,FALSE)</f>
        <v>0</v>
      </c>
      <c r="L341" t="str">
        <f t="shared" si="48"/>
        <v>p.update({"allowed_values":{"access_grant":{"type":"list_quoted","subtype":"list_quoted","indent":1,"default_value":"","docs_url":"https://looker.com/docs/r/lookml/types/access_grant/allowed_values?version=7.14&amp;lookml=new","has_allowed_values":False,"allowed_values":""}}})</v>
      </c>
      <c r="M341" t="str">
        <f t="shared" si="49"/>
        <v>{"allowed_values":{"access_grant":{"type":"list_quoted","subtype":"list_quoted","indent":1,"default_value":"","docs_url":"https://looker.com/docs/r/lookml/types/access_grant/allowed_values?version=7.14&amp;lookml=new","has_allowed_values":False,"allowed_values":""}}}</v>
      </c>
      <c r="N341" t="str">
        <f t="shared" si="50"/>
        <v>"type":"list_quoted",</v>
      </c>
      <c r="O341" t="str">
        <f t="shared" si="51"/>
        <v>"subtype":"list_quoted",</v>
      </c>
      <c r="P341" t="str">
        <f t="shared" si="52"/>
        <v>"indent":1,</v>
      </c>
      <c r="Q341" t="str">
        <f t="shared" si="56"/>
        <v>"default_value":"",</v>
      </c>
      <c r="R341" t="str">
        <f t="shared" si="53"/>
        <v>"docs_url":"https://looker.com/docs/r/lookml/types/access_grant/allowed_values?version=7.14&amp;lookml=new",</v>
      </c>
      <c r="S341" t="str">
        <f t="shared" si="54"/>
        <v>"has_allowed_values":False,</v>
      </c>
      <c r="T341" t="str">
        <f t="shared" si="55"/>
        <v>"allowed_values":""</v>
      </c>
    </row>
    <row r="342" spans="1:20" ht="15" hidden="1" customHeight="1" x14ac:dyDescent="0.15">
      <c r="A342" s="7">
        <v>402</v>
      </c>
      <c r="B342" s="6" t="s">
        <v>600</v>
      </c>
      <c r="C342" s="4" t="s">
        <v>473</v>
      </c>
      <c r="D342" s="4" t="s">
        <v>543</v>
      </c>
      <c r="E342" s="1" t="s">
        <v>598</v>
      </c>
      <c r="F342" s="4">
        <v>1</v>
      </c>
      <c r="H342" s="5" t="s">
        <v>542</v>
      </c>
      <c r="I342" s="4" t="b">
        <v>0</v>
      </c>
      <c r="K342" s="4" t="b">
        <f>IF(COUNTIF($B$2:$B342,B342)&gt;1,TRUE,FALSE)</f>
        <v>0</v>
      </c>
      <c r="L342" t="str">
        <f t="shared" si="48"/>
        <v>p.update({"user_attribute":{"access_grant":{"type":"string_unquoted","subtype":"user-attribute-ref","indent":1,"default_value":"","docs_url":"https://looker.com/docs/r/lookml/types/access_grant/user_attribute?version=7.14&amp;lookml=new","has_allowed_values":False,"allowed_values":""}}})</v>
      </c>
      <c r="M342" t="str">
        <f t="shared" si="49"/>
        <v>{"user_attribute":{"access_grant":{"type":"string_unquoted","subtype":"user-attribute-ref","indent":1,"default_value":"","docs_url":"https://looker.com/docs/r/lookml/types/access_grant/user_attribute?version=7.14&amp;lookml=new","has_allowed_values":False,"allowed_values":""}}}</v>
      </c>
      <c r="N342" t="str">
        <f t="shared" si="50"/>
        <v>"type":"string_unquoted",</v>
      </c>
      <c r="O342" t="str">
        <f t="shared" si="51"/>
        <v>"subtype":"user-attribute-ref",</v>
      </c>
      <c r="P342" t="str">
        <f t="shared" si="52"/>
        <v>"indent":1,</v>
      </c>
      <c r="Q342" t="str">
        <f t="shared" si="56"/>
        <v>"default_value":"",</v>
      </c>
      <c r="R342" t="str">
        <f t="shared" si="53"/>
        <v>"docs_url":"https://looker.com/docs/r/lookml/types/access_grant/user_attribute?version=7.14&amp;lookml=new",</v>
      </c>
      <c r="S342" t="str">
        <f t="shared" si="54"/>
        <v>"has_allowed_values":False,</v>
      </c>
      <c r="T342" t="str">
        <f t="shared" si="55"/>
        <v>"allowed_values":""</v>
      </c>
    </row>
    <row r="343" spans="1:20" ht="15" hidden="1" customHeight="1" x14ac:dyDescent="0.15">
      <c r="A343" s="7">
        <v>405</v>
      </c>
      <c r="B343" s="4" t="s">
        <v>548</v>
      </c>
      <c r="C343" s="4" t="s">
        <v>67</v>
      </c>
      <c r="D343" s="4" t="s">
        <v>611</v>
      </c>
      <c r="E343" s="4" t="s">
        <v>34</v>
      </c>
      <c r="F343" s="4">
        <v>3</v>
      </c>
      <c r="G343" s="4" t="s">
        <v>591</v>
      </c>
      <c r="H343" s="5" t="s">
        <v>544</v>
      </c>
      <c r="I343" s="4" t="b">
        <v>0</v>
      </c>
      <c r="K343" s="4" t="b">
        <f>IF(COUNTIF($B$2:$B343,B343)&gt;1,TRUE,FALSE)</f>
        <v>0</v>
      </c>
      <c r="L343" t="str">
        <f t="shared" si="48"/>
        <v>p.update({"sql_step":{"create_process":{"type":"sql","subtype":"sql-block ","indent":3,"default_value":"","docs_url":"https://docs.looker.com/reference/view-params/create_process?version=7.14&amp;lookml=new","has_allowed_values":False,"allowed_values":""}}})</v>
      </c>
      <c r="M343" t="str">
        <f t="shared" si="49"/>
        <v>{"sql_step":{"create_process":{"type":"sql","subtype":"sql-block ","indent":3,"default_value":"","docs_url":"https://docs.looker.com/reference/view-params/create_process?version=7.14&amp;lookml=new","has_allowed_values":False,"allowed_values":""}}}</v>
      </c>
      <c r="N343" t="str">
        <f t="shared" si="50"/>
        <v>"type":"sql",</v>
      </c>
      <c r="O343" t="str">
        <f t="shared" si="51"/>
        <v>"subtype":"sql-block ",</v>
      </c>
      <c r="P343" t="str">
        <f t="shared" si="52"/>
        <v>"indent":3,</v>
      </c>
      <c r="Q343" t="str">
        <f t="shared" si="56"/>
        <v>"default_value":"",</v>
      </c>
      <c r="R343" t="str">
        <f t="shared" si="53"/>
        <v>"docs_url":"https://docs.looker.com/reference/view-params/create_process?version=7.14&amp;lookml=new",</v>
      </c>
      <c r="S343" t="str">
        <f t="shared" si="54"/>
        <v>"has_allowed_values":False,</v>
      </c>
      <c r="T343" t="str">
        <f t="shared" si="55"/>
        <v>"allowed_values":""</v>
      </c>
    </row>
    <row r="344" spans="1:20" ht="15" hidden="1" customHeight="1" x14ac:dyDescent="0.15">
      <c r="A344" s="7">
        <v>408</v>
      </c>
      <c r="B344" s="6" t="s">
        <v>494</v>
      </c>
      <c r="C344" s="4" t="s">
        <v>479</v>
      </c>
      <c r="D344" s="4" t="s">
        <v>0</v>
      </c>
      <c r="E344" s="4" t="s">
        <v>0</v>
      </c>
      <c r="F344" s="4">
        <v>1</v>
      </c>
      <c r="G344" s="4" t="s">
        <v>591</v>
      </c>
      <c r="H344" s="4" t="s">
        <v>153</v>
      </c>
      <c r="I344" s="4" t="b">
        <v>0</v>
      </c>
      <c r="K344" s="4" t="b">
        <f>IF(COUNTIF($B$2:$B344,B344)&gt;1,TRUE,FALSE)</f>
        <v>1</v>
      </c>
      <c r="L344" t="str">
        <f t="shared" si="48"/>
        <v>p["url"].update({"remote_dependency":{"type":"string","subtype":"string","indent":1,"default_value":"","docs_url":"https://looker.com/docs/r/lookml/types/manifest/remote_dependency?version=7.14&amp;lookml=new","has_allowed_values":False,"allowed_values":""}})</v>
      </c>
      <c r="M344" t="str">
        <f t="shared" si="49"/>
        <v>{"url":{"remote_dependency":{"type":"string","subtype":"string","indent":1,"default_value":"","docs_url":"https://looker.com/docs/r/lookml/types/manifest/remote_dependency?version=7.14&amp;lookml=new","has_allowed_values":False,"allowed_values":""}}}</v>
      </c>
      <c r="N344" t="str">
        <f t="shared" si="50"/>
        <v>"type":"string",</v>
      </c>
      <c r="O344" t="str">
        <f t="shared" si="51"/>
        <v>"subtype":"string",</v>
      </c>
      <c r="P344" t="str">
        <f t="shared" si="52"/>
        <v>"indent":1,</v>
      </c>
      <c r="Q344" t="str">
        <f t="shared" si="56"/>
        <v>"default_value":"",</v>
      </c>
      <c r="R344" t="str">
        <f t="shared" si="53"/>
        <v>"docs_url":"https://looker.com/docs/r/lookml/types/manifest/remote_dependency?version=7.14&amp;lookml=new",</v>
      </c>
      <c r="S344" t="str">
        <f t="shared" si="54"/>
        <v>"has_allowed_values":False,</v>
      </c>
      <c r="T344" t="str">
        <f t="shared" si="55"/>
        <v>"allowed_values":""</v>
      </c>
    </row>
    <row r="345" spans="1:20" ht="15" hidden="1" customHeight="1" x14ac:dyDescent="0.15">
      <c r="A345" s="7">
        <v>409</v>
      </c>
      <c r="B345" s="6" t="s">
        <v>545</v>
      </c>
      <c r="C345" s="4" t="s">
        <v>479</v>
      </c>
      <c r="D345" s="4" t="s">
        <v>0</v>
      </c>
      <c r="E345" s="4" t="s">
        <v>0</v>
      </c>
      <c r="F345" s="4">
        <v>1</v>
      </c>
      <c r="G345" s="4" t="s">
        <v>591</v>
      </c>
      <c r="H345" s="4" t="s">
        <v>153</v>
      </c>
      <c r="I345" s="4" t="b">
        <v>0</v>
      </c>
      <c r="K345" s="4" t="b">
        <f>IF(COUNTIF($B$2:$B345,B345)&gt;1,TRUE,FALSE)</f>
        <v>0</v>
      </c>
      <c r="L345" t="str">
        <f t="shared" si="48"/>
        <v>p.update({"ref":{"remote_dependency":{"type":"string","subtype":"string","indent":1,"default_value":"","docs_url":"https://looker.com/docs/r/lookml/types/manifest/remote_dependency?version=7.14&amp;lookml=new","has_allowed_values":False,"allowed_values":""}}})</v>
      </c>
      <c r="M345" t="str">
        <f t="shared" si="49"/>
        <v>{"ref":{"remote_dependency":{"type":"string","subtype":"string","indent":1,"default_value":"","docs_url":"https://looker.com/docs/r/lookml/types/manifest/remote_dependency?version=7.14&amp;lookml=new","has_allowed_values":False,"allowed_values":""}}}</v>
      </c>
      <c r="N345" t="str">
        <f t="shared" si="50"/>
        <v>"type":"string",</v>
      </c>
      <c r="O345" t="str">
        <f t="shared" si="51"/>
        <v>"subtype":"string",</v>
      </c>
      <c r="P345" t="str">
        <f t="shared" si="52"/>
        <v>"indent":1,</v>
      </c>
      <c r="Q345" t="str">
        <f t="shared" si="56"/>
        <v>"default_value":"",</v>
      </c>
      <c r="R345" t="str">
        <f t="shared" si="53"/>
        <v>"docs_url":"https://looker.com/docs/r/lookml/types/manifest/remote_dependency?version=7.14&amp;lookml=new",</v>
      </c>
      <c r="S345" t="str">
        <f t="shared" si="54"/>
        <v>"has_allowed_values":False,</v>
      </c>
      <c r="T345" t="str">
        <f t="shared" si="55"/>
        <v>"allowed_values":""</v>
      </c>
    </row>
    <row r="346" spans="1:20" ht="15" hidden="1" customHeight="1" x14ac:dyDescent="0.15">
      <c r="A346" s="7">
        <v>410</v>
      </c>
      <c r="B346" s="6" t="s">
        <v>546</v>
      </c>
      <c r="C346" s="4" t="s">
        <v>479</v>
      </c>
      <c r="D346" s="4" t="s">
        <v>536</v>
      </c>
      <c r="E346" s="4" t="s">
        <v>598</v>
      </c>
      <c r="F346" s="4">
        <v>1</v>
      </c>
      <c r="H346" s="4" t="s">
        <v>153</v>
      </c>
      <c r="I346" s="4" t="b">
        <v>0</v>
      </c>
      <c r="K346" s="4" t="b">
        <f>IF(COUNTIF($B$2:$B346,B346)&gt;1,TRUE,FALSE)</f>
        <v>0</v>
      </c>
      <c r="L346" t="str">
        <f t="shared" si="48"/>
        <v>p.update({"override_constant":{"remote_dependency":{"type":"string_unquoted","subtype":"constant-ref","indent":1,"default_value":"","docs_url":"https://looker.com/docs/r/lookml/types/manifest/remote_dependency?version=7.14&amp;lookml=new","has_allowed_values":False,"allowed_values":""}}})</v>
      </c>
      <c r="M346" t="str">
        <f t="shared" si="49"/>
        <v>{"override_constant":{"remote_dependency":{"type":"string_unquoted","subtype":"constant-ref","indent":1,"default_value":"","docs_url":"https://looker.com/docs/r/lookml/types/manifest/remote_dependency?version=7.14&amp;lookml=new","has_allowed_values":False,"allowed_values":""}}}</v>
      </c>
      <c r="N346" t="str">
        <f t="shared" si="50"/>
        <v>"type":"string_unquoted",</v>
      </c>
      <c r="O346" t="str">
        <f t="shared" si="51"/>
        <v>"subtype":"constant-ref",</v>
      </c>
      <c r="P346" t="str">
        <f t="shared" si="52"/>
        <v>"indent":1,</v>
      </c>
      <c r="Q346" t="str">
        <f t="shared" si="56"/>
        <v>"default_value":"",</v>
      </c>
      <c r="R346" t="str">
        <f t="shared" si="53"/>
        <v>"docs_url":"https://looker.com/docs/r/lookml/types/manifest/remote_dependency?version=7.14&amp;lookml=new",</v>
      </c>
      <c r="S346" t="str">
        <f t="shared" si="54"/>
        <v>"has_allowed_values":False,</v>
      </c>
      <c r="T346" t="str">
        <f t="shared" si="55"/>
        <v>"allowed_values":""</v>
      </c>
    </row>
    <row r="347" spans="1:20" ht="15" hidden="1" customHeight="1" x14ac:dyDescent="0.15">
      <c r="A347" s="7">
        <v>413</v>
      </c>
      <c r="B347" s="6" t="s">
        <v>547</v>
      </c>
      <c r="C347" s="5" t="s">
        <v>546</v>
      </c>
      <c r="D347" s="4" t="s">
        <v>0</v>
      </c>
      <c r="E347" s="4" t="s">
        <v>0</v>
      </c>
      <c r="F347" s="4">
        <v>2</v>
      </c>
      <c r="G347" s="4" t="s">
        <v>591</v>
      </c>
      <c r="H347" s="5" t="s">
        <v>549</v>
      </c>
      <c r="I347" s="4" t="b">
        <v>0</v>
      </c>
      <c r="K347" s="4" t="b">
        <f>IF(COUNTIF($B$2:$B347,B347)&gt;1,TRUE,FALSE)</f>
        <v>0</v>
      </c>
      <c r="L347" t="str">
        <f t="shared" si="48"/>
        <v>p.update({"value":{"override_constant":{"type":"string","subtype":"string","indent":2,"default_value":"","docs_url":"https://docs.looker.com/data-modeling/learning-lookml/importing-projects?version=7.14&amp;lookml=new#passing_constants_between_projects","has_allowed_values":False,"allowed_values":""}}})</v>
      </c>
      <c r="M347" t="str">
        <f t="shared" si="49"/>
        <v>{"value":{"override_constant":{"type":"string","subtype":"string","indent":2,"default_value":"","docs_url":"https://docs.looker.com/data-modeling/learning-lookml/importing-projects?version=7.14&amp;lookml=new#passing_constants_between_projects","has_allowed_values":False,"allowed_values":""}}}</v>
      </c>
      <c r="N347" t="str">
        <f t="shared" si="50"/>
        <v>"type":"string",</v>
      </c>
      <c r="O347" t="str">
        <f t="shared" si="51"/>
        <v>"subtype":"string",</v>
      </c>
      <c r="P347" t="str">
        <f t="shared" si="52"/>
        <v>"indent":2,</v>
      </c>
      <c r="Q347" t="str">
        <f t="shared" si="56"/>
        <v>"default_value":"",</v>
      </c>
      <c r="R347" t="str">
        <f t="shared" si="53"/>
        <v>"docs_url":"https://docs.looker.com/data-modeling/learning-lookml/importing-projects?version=7.14&amp;lookml=new#passing_constants_between_projects",</v>
      </c>
      <c r="S347" t="str">
        <f t="shared" si="54"/>
        <v>"has_allowed_values":False,</v>
      </c>
      <c r="T347" t="str">
        <f t="shared" si="55"/>
        <v>"allowed_values":""</v>
      </c>
    </row>
    <row r="348" spans="1:20" ht="15" hidden="1" customHeight="1" x14ac:dyDescent="0.15">
      <c r="A348" s="7">
        <v>414</v>
      </c>
      <c r="B348" s="6" t="s">
        <v>494</v>
      </c>
      <c r="C348" s="9" t="s">
        <v>25</v>
      </c>
      <c r="D348" s="4" t="s">
        <v>0</v>
      </c>
      <c r="E348" s="4" t="s">
        <v>0</v>
      </c>
      <c r="F348" s="4">
        <v>3</v>
      </c>
      <c r="G348" s="4" t="s">
        <v>591</v>
      </c>
      <c r="H348" s="4" t="s">
        <v>607</v>
      </c>
      <c r="I348" s="4" t="b">
        <v>0</v>
      </c>
      <c r="K348" s="4" t="b">
        <f>IF(COUNTIF($B$2:$B348,B348)&gt;1,TRUE,FALSE)</f>
        <v>1</v>
      </c>
      <c r="L348" t="str">
        <f t="shared" ref="L348:L357" si="57">IF(
K348,"p["""&amp;B348&amp;"""].update({"&amp;""""&amp;C348&amp;""":{"&amp;_xlfn.CONCAT(N348:T348)&amp;"}})","p.update("&amp;M348&amp;")"
)</f>
        <v>p["url"].update({"link":{"type":"string","subtype":"string","indent":3,"default_value":"","docs_url":"https://docs.looker.com/reference/field-params/link?version=7.14&amp;lookml=new","has_allowed_values":False,"allowed_values":""}})</v>
      </c>
      <c r="M348" t="str">
        <f t="shared" ref="M348:M353" si="58">"{"&amp;""""&amp;B348
&amp;""":{"&amp;""""&amp;C348&amp;""":{"&amp;_xlfn.CONCAT(N348:T348)&amp;"}}}"</f>
        <v>{"url":{"link":{"type":"string","subtype":"string","indent":3,"default_value":"","docs_url":"https://docs.looker.com/reference/field-params/link?version=7.14&amp;lookml=new","has_allowed_values":False,"allowed_values":""}}}</v>
      </c>
      <c r="N348" t="str">
        <f t="shared" si="50"/>
        <v>"type":"string",</v>
      </c>
      <c r="O348" t="str">
        <f>"""subtype"":"&amp;""""&amp;D348&amp;""","</f>
        <v>"subtype":"string",</v>
      </c>
      <c r="P348" t="str">
        <f t="shared" si="52"/>
        <v>"indent":3,</v>
      </c>
      <c r="Q348" t="str">
        <f t="shared" si="56"/>
        <v>"default_value":"",</v>
      </c>
      <c r="R348" t="str">
        <f t="shared" si="53"/>
        <v>"docs_url":"https://docs.looker.com/reference/field-params/link?version=7.14&amp;lookml=new",</v>
      </c>
      <c r="S348" t="str">
        <f t="shared" si="54"/>
        <v>"has_allowed_values":False,</v>
      </c>
      <c r="T348" t="str">
        <f t="shared" si="55"/>
        <v>"allowed_values":""</v>
      </c>
    </row>
    <row r="349" spans="1:20" ht="15" hidden="1" customHeight="1" x14ac:dyDescent="0.15">
      <c r="A349" s="7">
        <v>415</v>
      </c>
      <c r="B349" s="6" t="s">
        <v>23</v>
      </c>
      <c r="C349" s="9" t="s">
        <v>25</v>
      </c>
      <c r="D349" s="4" t="s">
        <v>0</v>
      </c>
      <c r="E349" s="4" t="s">
        <v>0</v>
      </c>
      <c r="F349" s="4">
        <v>3</v>
      </c>
      <c r="G349" s="4" t="s">
        <v>591</v>
      </c>
      <c r="H349" s="10" t="s">
        <v>607</v>
      </c>
      <c r="I349" s="4" t="b">
        <v>0</v>
      </c>
      <c r="K349" s="4" t="b">
        <f>IF(COUNTIF($B$2:$B349,B349)&gt;1,TRUE,FALSE)</f>
        <v>1</v>
      </c>
      <c r="L349" t="str">
        <f t="shared" si="57"/>
        <v>p["label"].update({"link":{"type":"string","subtype":"string","indent":3,"default_value":"","docs_url":"https://docs.looker.com/reference/field-params/link?version=7.14&amp;lookml=new","has_allowed_values":False,"allowed_values":""}})</v>
      </c>
      <c r="M349" t="str">
        <f t="shared" si="58"/>
        <v>{"label":{"link":{"type":"string","subtype":"string","indent":3,"default_value":"","docs_url":"https://docs.looker.com/reference/field-params/link?version=7.14&amp;lookml=new","has_allowed_values":False,"allowed_values":""}}}</v>
      </c>
      <c r="N349" t="str">
        <f t="shared" ref="N349:N351" si="59">"""type"":"&amp;""""&amp;E349&amp;""","</f>
        <v>"type":"string",</v>
      </c>
      <c r="O349" t="str">
        <f t="shared" ref="O349:O350" si="60">"""subtype"":"&amp;""""&amp;D349&amp;""","</f>
        <v>"subtype":"string",</v>
      </c>
      <c r="P349" t="str">
        <f t="shared" si="52"/>
        <v>"indent":3,</v>
      </c>
      <c r="Q349" t="str">
        <f t="shared" si="56"/>
        <v>"default_value":"",</v>
      </c>
      <c r="R349" t="str">
        <f t="shared" si="53"/>
        <v>"docs_url":"https://docs.looker.com/reference/field-params/link?version=7.14&amp;lookml=new",</v>
      </c>
      <c r="S349" t="str">
        <f t="shared" si="54"/>
        <v>"has_allowed_values":False,</v>
      </c>
      <c r="T349" t="str">
        <f t="shared" si="55"/>
        <v>"allowed_values":""</v>
      </c>
    </row>
    <row r="350" spans="1:20" ht="15" hidden="1" customHeight="1" x14ac:dyDescent="0.15">
      <c r="A350" s="7">
        <v>416</v>
      </c>
      <c r="B350" s="6" t="s">
        <v>509</v>
      </c>
      <c r="C350" s="9" t="s">
        <v>25</v>
      </c>
      <c r="D350" s="4" t="s">
        <v>0</v>
      </c>
      <c r="E350" s="4" t="s">
        <v>0</v>
      </c>
      <c r="F350" s="4">
        <v>3</v>
      </c>
      <c r="G350" s="4" t="s">
        <v>591</v>
      </c>
      <c r="H350" s="10" t="s">
        <v>607</v>
      </c>
      <c r="I350" s="4" t="b">
        <v>0</v>
      </c>
      <c r="K350" s="4" t="b">
        <f>IF(COUNTIF($B$2:$B350,B350)&gt;1,TRUE,FALSE)</f>
        <v>1</v>
      </c>
      <c r="L350" t="str">
        <f t="shared" si="57"/>
        <v>p["icon_url"].update({"link":{"type":"string","subtype":"string","indent":3,"default_value":"","docs_url":"https://docs.looker.com/reference/field-params/link?version=7.14&amp;lookml=new","has_allowed_values":False,"allowed_values":""}})</v>
      </c>
      <c r="M350" t="str">
        <f t="shared" si="58"/>
        <v>{"icon_url":{"link":{"type":"string","subtype":"string","indent":3,"default_value":"","docs_url":"https://docs.looker.com/reference/field-params/link?version=7.14&amp;lookml=new","has_allowed_values":False,"allowed_values":""}}}</v>
      </c>
      <c r="N350" t="str">
        <f t="shared" si="59"/>
        <v>"type":"string",</v>
      </c>
      <c r="O350" t="str">
        <f t="shared" si="60"/>
        <v>"subtype":"string",</v>
      </c>
      <c r="P350" t="str">
        <f t="shared" si="52"/>
        <v>"indent":3,</v>
      </c>
      <c r="Q350" t="str">
        <f t="shared" ref="Q350" si="61">"""default_value"":"&amp;IF(G350="""""",""""",",IF(LEFT(G350,1)="[",G350,""""&amp;G350&amp;"""")&amp;",")</f>
        <v>"default_value":"",</v>
      </c>
      <c r="R350" t="str">
        <f t="shared" ref="R350" si="62">"""docs_url"":"&amp;""""&amp;H350&amp;""","</f>
        <v>"docs_url":"https://docs.looker.com/reference/field-params/link?version=7.14&amp;lookml=new",</v>
      </c>
      <c r="S350" t="str">
        <f t="shared" ref="S350:S357" si="63">"""has_allowed_values"":"&amp;IF(I350,"True,","False"&amp;",")</f>
        <v>"has_allowed_values":False,</v>
      </c>
      <c r="T350" t="str">
        <f t="shared" ref="T350" si="64">"""allowed_values"":"&amp;IF(J350&lt;&gt;"",J350,"""""")</f>
        <v>"allowed_values":""</v>
      </c>
    </row>
    <row r="351" spans="1:20" ht="15" hidden="1" customHeight="1" x14ac:dyDescent="0.15">
      <c r="A351" s="7">
        <v>417</v>
      </c>
      <c r="B351" s="4" t="s">
        <v>615</v>
      </c>
      <c r="C351" s="6" t="s">
        <v>115</v>
      </c>
      <c r="D351" s="4" t="s">
        <v>597</v>
      </c>
      <c r="E351" s="4" t="s">
        <v>597</v>
      </c>
      <c r="F351" s="4">
        <v>3</v>
      </c>
      <c r="H351" s="4" t="s">
        <v>614</v>
      </c>
      <c r="I351" s="4" t="b">
        <v>0</v>
      </c>
      <c r="K351" s="4" t="b">
        <f>IF(COUNTIF($B$2:$B351,#REF!)&gt;1,TRUE,FALSE)</f>
        <v>0</v>
      </c>
      <c r="L351" t="str">
        <f t="shared" si="57"/>
        <v>p.update({"new_window_external_urls":{"entitlements":{"type":"list_quoted","subtype":"list_quoted","indent":3,"default_value":"","docs_url":"https://docs.looker.com/reference/manifest-params/application?version=7.18&amp;lookml=new#new_window","has_allowed_values":False,"allowed_values":""}}})</v>
      </c>
      <c r="M351" t="str">
        <f t="shared" si="58"/>
        <v>{"new_window_external_urls":{"entitlements":{"type":"list_quoted","subtype":"list_quoted","indent":3,"default_value":"","docs_url":"https://docs.looker.com/reference/manifest-params/application?version=7.18&amp;lookml=new#new_window","has_allowed_values":False,"allowed_values":""}}}</v>
      </c>
      <c r="N351" t="str">
        <f t="shared" si="59"/>
        <v>"type":"list_quoted",</v>
      </c>
      <c r="O351" t="str">
        <f>"""subtype"":"&amp;""""&amp;D351&amp;""","</f>
        <v>"subtype":"list_quoted",</v>
      </c>
      <c r="P351" t="str">
        <f t="shared" si="52"/>
        <v>"indent":3,</v>
      </c>
      <c r="Q351" t="str">
        <f t="shared" ref="Q351:Q358" si="65">"""default_value"":"&amp;IF(G351="""""",""""",",IF(LEFT(G351,1)="[",G351,""""&amp;G351&amp;"""")&amp;",")</f>
        <v>"default_value":"",</v>
      </c>
      <c r="R351" t="str">
        <f t="shared" ref="R351:R358" si="66">"""docs_url"":"&amp;""""&amp;H351&amp;""","</f>
        <v>"docs_url":"https://docs.looker.com/reference/manifest-params/application?version=7.18&amp;lookml=new#new_window",</v>
      </c>
      <c r="S351" t="str">
        <f t="shared" si="63"/>
        <v>"has_allowed_values":False,</v>
      </c>
      <c r="T351" t="str">
        <f t="shared" si="55"/>
        <v>"allowed_values":""</v>
      </c>
    </row>
    <row r="352" spans="1:20" ht="15" hidden="1" customHeight="1" x14ac:dyDescent="0.15">
      <c r="A352" s="7">
        <v>418</v>
      </c>
      <c r="B352" s="4" t="s">
        <v>616</v>
      </c>
      <c r="C352" s="6" t="s">
        <v>115</v>
      </c>
      <c r="D352" s="4" t="s">
        <v>568</v>
      </c>
      <c r="E352" s="4" t="s">
        <v>568</v>
      </c>
      <c r="F352" s="4">
        <v>3</v>
      </c>
      <c r="G352" s="4" t="s">
        <v>603</v>
      </c>
      <c r="H352" s="10" t="s">
        <v>618</v>
      </c>
      <c r="I352" s="4" t="b">
        <v>0</v>
      </c>
      <c r="K352" s="4" t="b">
        <f>IF(COUNTIF($B$2:$B352,B352)&gt;1,TRUE,FALSE)</f>
        <v>0</v>
      </c>
      <c r="L352" t="str">
        <f t="shared" si="57"/>
        <v>p.update({"use_form_submit":{"entitlements":{"type":"yesno","subtype":"yesno","indent":3,"default_value":"no","docs_url":"https://docs.looker.com/reference/manifest-params/application?version=7.18&amp;lookml=new#use_form_submit","has_allowed_values":False,"allowed_values":""}}})</v>
      </c>
      <c r="M352" t="str">
        <f t="shared" si="58"/>
        <v>{"use_form_submit":{"entitlements":{"type":"yesno","subtype":"yesno","indent":3,"default_value":"no","docs_url":"https://docs.looker.com/reference/manifest-params/application?version=7.18&amp;lookml=new#use_form_submit","has_allowed_values":False,"allowed_values":""}}}</v>
      </c>
      <c r="N352" t="str">
        <f t="shared" ref="N352:N410" si="67">"""type"":"&amp;""""&amp;E352&amp;""","</f>
        <v>"type":"yesno",</v>
      </c>
      <c r="O352" t="str">
        <f t="shared" ref="O352:O410" si="68">"""subtype"":"&amp;""""&amp;D352&amp;""","</f>
        <v>"subtype":"yesno",</v>
      </c>
      <c r="P352" t="str">
        <f t="shared" si="52"/>
        <v>"indent":3,</v>
      </c>
      <c r="Q352" t="str">
        <f t="shared" si="65"/>
        <v>"default_value":"no",</v>
      </c>
      <c r="R352" t="str">
        <f t="shared" si="66"/>
        <v>"docs_url":"https://docs.looker.com/reference/manifest-params/application?version=7.18&amp;lookml=new#use_form_submit",</v>
      </c>
      <c r="S352" t="str">
        <f t="shared" si="63"/>
        <v>"has_allowed_values":False,</v>
      </c>
      <c r="T352" t="str">
        <f t="shared" si="55"/>
        <v>"allowed_values":""</v>
      </c>
    </row>
    <row r="353" spans="1:20" ht="15" hidden="1" customHeight="1" x14ac:dyDescent="0.15">
      <c r="A353" s="7">
        <v>419</v>
      </c>
      <c r="B353" s="4" t="s">
        <v>617</v>
      </c>
      <c r="C353" s="6" t="s">
        <v>115</v>
      </c>
      <c r="D353" s="4" t="s">
        <v>568</v>
      </c>
      <c r="E353" s="4" t="s">
        <v>568</v>
      </c>
      <c r="F353" s="4">
        <v>3</v>
      </c>
      <c r="G353" s="4" t="s">
        <v>603</v>
      </c>
      <c r="H353" s="10" t="s">
        <v>619</v>
      </c>
      <c r="I353" s="4" t="b">
        <v>0</v>
      </c>
      <c r="K353" s="4" t="b">
        <f>IF(COUNTIF($B$2:$B353,B353)&gt;1,TRUE,FALSE)</f>
        <v>0</v>
      </c>
      <c r="L353" t="str">
        <f t="shared" si="57"/>
        <v>p.update({"use_embeds":{"entitlements":{"type":"yesno","subtype":"yesno","indent":3,"default_value":"no","docs_url":"https://docs.looker.com/reference/manifest-params/application?version=7.18&amp;lookml=new#use_embeds","has_allowed_values":False,"allowed_values":""}}})</v>
      </c>
      <c r="M353" t="str">
        <f t="shared" si="58"/>
        <v>{"use_embeds":{"entitlements":{"type":"yesno","subtype":"yesno","indent":3,"default_value":"no","docs_url":"https://docs.looker.com/reference/manifest-params/application?version=7.18&amp;lookml=new#use_embeds","has_allowed_values":False,"allowed_values":""}}}</v>
      </c>
      <c r="N353" t="str">
        <f t="shared" si="67"/>
        <v>"type":"yesno",</v>
      </c>
      <c r="O353" t="str">
        <f t="shared" si="68"/>
        <v>"subtype":"yesno",</v>
      </c>
      <c r="P353" t="str">
        <f t="shared" si="52"/>
        <v>"indent":3,</v>
      </c>
      <c r="Q353" t="str">
        <f t="shared" si="65"/>
        <v>"default_value":"no",</v>
      </c>
      <c r="R353" t="str">
        <f t="shared" si="66"/>
        <v>"docs_url":"https://docs.looker.com/reference/manifest-params/application?version=7.18&amp;lookml=new#use_embeds",</v>
      </c>
      <c r="S353" t="str">
        <f t="shared" si="63"/>
        <v>"has_allowed_values":False,</v>
      </c>
      <c r="T353" t="str">
        <f t="shared" si="55"/>
        <v>"allowed_values":""</v>
      </c>
    </row>
    <row r="354" spans="1:20" ht="15" hidden="1" customHeight="1" x14ac:dyDescent="0.15">
      <c r="A354" s="4">
        <v>420</v>
      </c>
      <c r="B354" s="4" t="s">
        <v>514</v>
      </c>
      <c r="C354" s="6" t="s">
        <v>511</v>
      </c>
      <c r="D354" s="4" t="s">
        <v>0</v>
      </c>
      <c r="E354" s="4" t="s">
        <v>0</v>
      </c>
      <c r="F354" s="4">
        <v>4</v>
      </c>
      <c r="G354" s="4" t="s">
        <v>591</v>
      </c>
      <c r="H354" s="10" t="s">
        <v>620</v>
      </c>
      <c r="I354" s="4" t="b">
        <v>0</v>
      </c>
      <c r="K354" s="4" t="b">
        <f>IF(COUNTIF($B$2:$B354,B354)&gt;1,TRUE,FALSE)</f>
        <v>1</v>
      </c>
      <c r="L354" t="str">
        <f t="shared" si="57"/>
        <v>p["name"].update({"param":{"type":"string","subtype":"string","indent":4,"default_value":"","docs_url":"https://docs.looker.com/reference/field-params/action?version=7.14&amp;lookml=new","has_allowed_values":False,"allowed_values":""}})</v>
      </c>
      <c r="M354" t="str">
        <f t="shared" si="49"/>
        <v>{"name":{"param":{"type":"string","subtype":"string","indent":4,"default_value":"","docs_url":"https://docs.looker.com/reference/field-params/action?version=7.14&amp;lookml=new","has_allowed_values":False,"allowed_values":""}}}</v>
      </c>
      <c r="N354" t="str">
        <f t="shared" si="67"/>
        <v>"type":"string",</v>
      </c>
      <c r="O354" t="str">
        <f t="shared" si="68"/>
        <v>"subtype":"string",</v>
      </c>
      <c r="P354" t="str">
        <f t="shared" si="52"/>
        <v>"indent":4,</v>
      </c>
      <c r="Q354" t="str">
        <f t="shared" si="65"/>
        <v>"default_value":"",</v>
      </c>
      <c r="R354" t="str">
        <f t="shared" si="66"/>
        <v>"docs_url":"https://docs.looker.com/reference/field-params/action?version=7.14&amp;lookml=new",</v>
      </c>
      <c r="S354" t="str">
        <f t="shared" si="63"/>
        <v>"has_allowed_values":False,</v>
      </c>
      <c r="T354" t="str">
        <f t="shared" si="55"/>
        <v>"allowed_values":""</v>
      </c>
    </row>
    <row r="355" spans="1:20" ht="15" hidden="1" customHeight="1" x14ac:dyDescent="0.15">
      <c r="A355" s="7">
        <v>421</v>
      </c>
      <c r="B355" s="4" t="s">
        <v>547</v>
      </c>
      <c r="C355" s="6" t="s">
        <v>511</v>
      </c>
      <c r="D355" s="4" t="s">
        <v>0</v>
      </c>
      <c r="E355" s="4" t="s">
        <v>0</v>
      </c>
      <c r="F355" s="4">
        <v>4</v>
      </c>
      <c r="G355" s="4" t="s">
        <v>591</v>
      </c>
      <c r="H355" s="10" t="s">
        <v>620</v>
      </c>
      <c r="I355" s="4" t="b">
        <v>0</v>
      </c>
      <c r="K355" s="4" t="b">
        <f>IF(COUNTIF($B$2:$B355,B355)&gt;1,TRUE,FALSE)</f>
        <v>1</v>
      </c>
      <c r="L355" t="str">
        <f t="shared" si="57"/>
        <v>p["value"].update({"param":{"type":"string","subtype":"string","indent":4,"default_value":"","docs_url":"https://docs.looker.com/reference/field-params/action?version=7.14&amp;lookml=new","has_allowed_values":False,"allowed_values":""}})</v>
      </c>
      <c r="M355" t="str">
        <f t="shared" si="49"/>
        <v>{"value":{"param":{"type":"string","subtype":"string","indent":4,"default_value":"","docs_url":"https://docs.looker.com/reference/field-params/action?version=7.14&amp;lookml=new","has_allowed_values":False,"allowed_values":""}}}</v>
      </c>
      <c r="N355" t="str">
        <f t="shared" si="67"/>
        <v>"type":"string",</v>
      </c>
      <c r="O355" t="str">
        <f t="shared" si="68"/>
        <v>"subtype":"string",</v>
      </c>
      <c r="P355" t="str">
        <f t="shared" si="52"/>
        <v>"indent":4,</v>
      </c>
      <c r="Q355" t="str">
        <f t="shared" si="65"/>
        <v>"default_value":"",</v>
      </c>
      <c r="R355" t="str">
        <f t="shared" si="66"/>
        <v>"docs_url":"https://docs.looker.com/reference/field-params/action?version=7.14&amp;lookml=new",</v>
      </c>
      <c r="S355" t="str">
        <f t="shared" si="63"/>
        <v>"has_allowed_values":False,</v>
      </c>
      <c r="T355" t="str">
        <f t="shared" si="55"/>
        <v>"allowed_values":""</v>
      </c>
    </row>
    <row r="356" spans="1:20" ht="15" hidden="1" customHeight="1" x14ac:dyDescent="0.15">
      <c r="A356" s="7">
        <v>422</v>
      </c>
      <c r="B356" s="4" t="s">
        <v>600</v>
      </c>
      <c r="C356" s="10" t="s">
        <v>513</v>
      </c>
      <c r="D356" s="4" t="s">
        <v>543</v>
      </c>
      <c r="E356" s="4" t="s">
        <v>598</v>
      </c>
      <c r="F356" s="4">
        <v>4</v>
      </c>
      <c r="H356" s="4" t="s">
        <v>620</v>
      </c>
      <c r="I356" s="4" t="b">
        <v>0</v>
      </c>
      <c r="K356" s="4" t="b">
        <f>IF(COUNTIF($B$2:$B356,B356)&gt;1,TRUE,FALSE)</f>
        <v>1</v>
      </c>
      <c r="L356" t="str">
        <f t="shared" si="57"/>
        <v>p["user_attribute"].update({"user_attribute_param":{"type":"string_unquoted","subtype":"user-attribute-ref","indent":4,"default_value":"","docs_url":"https://docs.looker.com/reference/field-params/action?version=7.14&amp;lookml=new","has_allowed_values":False,"allowed_values":""}})</v>
      </c>
      <c r="M356" t="str">
        <f t="shared" si="49"/>
        <v>{"user_attribute":{"user_attribute_param":{"type":"string_unquoted","subtype":"user-attribute-ref","indent":4,"default_value":"","docs_url":"https://docs.looker.com/reference/field-params/action?version=7.14&amp;lookml=new","has_allowed_values":False,"allowed_values":""}}}</v>
      </c>
      <c r="N356" t="str">
        <f t="shared" si="67"/>
        <v>"type":"string_unquoted",</v>
      </c>
      <c r="O356" t="str">
        <f t="shared" si="68"/>
        <v>"subtype":"user-attribute-ref",</v>
      </c>
      <c r="P356" t="str">
        <f t="shared" si="52"/>
        <v>"indent":4,</v>
      </c>
      <c r="Q356" t="str">
        <f t="shared" si="65"/>
        <v>"default_value":"",</v>
      </c>
      <c r="R356" t="str">
        <f t="shared" si="66"/>
        <v>"docs_url":"https://docs.looker.com/reference/field-params/action?version=7.14&amp;lookml=new",</v>
      </c>
      <c r="S356" t="str">
        <f t="shared" si="63"/>
        <v>"has_allowed_values":False,</v>
      </c>
      <c r="T356" t="str">
        <f t="shared" si="55"/>
        <v>"allowed_values":""</v>
      </c>
    </row>
    <row r="357" spans="1:20" ht="15" hidden="1" customHeight="1" x14ac:dyDescent="0.15">
      <c r="A357" s="7">
        <v>423</v>
      </c>
      <c r="B357" s="4" t="s">
        <v>514</v>
      </c>
      <c r="C357" s="10" t="s">
        <v>513</v>
      </c>
      <c r="D357" s="4" t="s">
        <v>0</v>
      </c>
      <c r="E357" s="4" t="s">
        <v>0</v>
      </c>
      <c r="F357" s="4">
        <v>4</v>
      </c>
      <c r="G357" s="4" t="s">
        <v>591</v>
      </c>
      <c r="H357" s="4" t="s">
        <v>620</v>
      </c>
      <c r="I357" s="4" t="b">
        <v>0</v>
      </c>
      <c r="K357" s="4" t="b">
        <f>IF(COUNTIF($B$2:$B357,B357)&gt;1,TRUE,FALSE)</f>
        <v>1</v>
      </c>
      <c r="L357" t="str">
        <f t="shared" si="57"/>
        <v>p["name"].update({"user_attribute_param":{"type":"string","subtype":"string","indent":4,"default_value":"","docs_url":"https://docs.looker.com/reference/field-params/action?version=7.14&amp;lookml=new","has_allowed_values":False,"allowed_values":""}})</v>
      </c>
      <c r="M357" t="str">
        <f t="shared" si="49"/>
        <v>{"name":{"user_attribute_param":{"type":"string","subtype":"string","indent":4,"default_value":"","docs_url":"https://docs.looker.com/reference/field-params/action?version=7.14&amp;lookml=new","has_allowed_values":False,"allowed_values":""}}}</v>
      </c>
      <c r="N357" t="str">
        <f t="shared" si="67"/>
        <v>"type":"string",</v>
      </c>
      <c r="O357" t="str">
        <f t="shared" si="68"/>
        <v>"subtype":"string",</v>
      </c>
      <c r="P357" t="str">
        <f t="shared" si="52"/>
        <v>"indent":4,</v>
      </c>
      <c r="Q357" t="str">
        <f t="shared" si="65"/>
        <v>"default_value":"",</v>
      </c>
      <c r="R357" t="str">
        <f t="shared" si="66"/>
        <v>"docs_url":"https://docs.looker.com/reference/field-params/action?version=7.14&amp;lookml=new",</v>
      </c>
      <c r="S357" t="str">
        <f t="shared" si="63"/>
        <v>"has_allowed_values":False,</v>
      </c>
      <c r="T357" t="str">
        <f t="shared" si="55"/>
        <v>"allowed_values":""</v>
      </c>
    </row>
    <row r="358" spans="1:20" ht="15" hidden="1" customHeight="1" x14ac:dyDescent="0.25">
      <c r="B358" s="11"/>
      <c r="M358" t="str">
        <f t="shared" si="49"/>
        <v>{"":{"":{"type":"","subtype":"","indent":,"default_value":"","docs_url":"","has_allowed_values":False,"allowed_values":""}}}</v>
      </c>
      <c r="N358" t="str">
        <f t="shared" si="67"/>
        <v>"type":"",</v>
      </c>
      <c r="O358" t="str">
        <f t="shared" si="68"/>
        <v>"subtype":"",</v>
      </c>
      <c r="P358" t="str">
        <f t="shared" si="52"/>
        <v>"indent":,</v>
      </c>
      <c r="Q358" t="str">
        <f t="shared" si="65"/>
        <v>"default_value":"",</v>
      </c>
      <c r="R358" t="str">
        <f t="shared" si="66"/>
        <v>"docs_url":"",</v>
      </c>
      <c r="S358" t="str">
        <f t="shared" ref="S358:S409" si="69">"""has_allowed_values"":"&amp;IF(I358,"True,","False"&amp;",")</f>
        <v>"has_allowed_values":False,</v>
      </c>
      <c r="T358" t="str">
        <f t="shared" si="55"/>
        <v>"allowed_values":""</v>
      </c>
    </row>
    <row r="359" spans="1:20" ht="15" hidden="1" customHeight="1" x14ac:dyDescent="0.25">
      <c r="B359" s="11"/>
      <c r="M359" t="str">
        <f t="shared" si="49"/>
        <v>{"":{"":{"type":"","subtype":"","indent":,"default_value":"","docs_url":"","has_allowed_values":False,"allowed_values":""}}}</v>
      </c>
      <c r="N359" t="str">
        <f t="shared" si="67"/>
        <v>"type":"",</v>
      </c>
      <c r="O359" t="str">
        <f t="shared" si="68"/>
        <v>"subtype":"",</v>
      </c>
      <c r="P359" t="str">
        <f t="shared" si="52"/>
        <v>"indent":,</v>
      </c>
      <c r="Q359" t="str">
        <f t="shared" ref="Q359:Q409" si="70">"""default_value"":"&amp;IF(G359="""""",""""",",IF(LEFT(G359,1)="[",G359,""""&amp;G359&amp;"""")&amp;",")</f>
        <v>"default_value":"",</v>
      </c>
      <c r="R359" t="str">
        <f t="shared" ref="R359:R409" si="71">"""docs_url"":"&amp;""""&amp;H359&amp;""","</f>
        <v>"docs_url":"",</v>
      </c>
      <c r="S359" t="str">
        <f t="shared" si="69"/>
        <v>"has_allowed_values":False,</v>
      </c>
      <c r="T359" t="str">
        <f t="shared" si="55"/>
        <v>"allowed_values":""</v>
      </c>
    </row>
    <row r="360" spans="1:20" ht="15" hidden="1" customHeight="1" x14ac:dyDescent="0.15">
      <c r="M360" t="str">
        <f t="shared" si="49"/>
        <v>{"":{"":{"type":"","subtype":"","indent":,"default_value":"","docs_url":"","has_allowed_values":False,"allowed_values":""}}}</v>
      </c>
      <c r="N360" t="str">
        <f t="shared" si="67"/>
        <v>"type":"",</v>
      </c>
      <c r="O360" t="str">
        <f t="shared" si="68"/>
        <v>"subtype":"",</v>
      </c>
      <c r="P360" t="str">
        <f t="shared" si="52"/>
        <v>"indent":,</v>
      </c>
      <c r="Q360" t="str">
        <f t="shared" si="70"/>
        <v>"default_value":"",</v>
      </c>
      <c r="R360" t="str">
        <f t="shared" si="71"/>
        <v>"docs_url":"",</v>
      </c>
      <c r="S360" t="str">
        <f t="shared" si="69"/>
        <v>"has_allowed_values":False,</v>
      </c>
      <c r="T360" t="str">
        <f t="shared" si="55"/>
        <v>"allowed_values":""</v>
      </c>
    </row>
    <row r="361" spans="1:20" ht="15" hidden="1" customHeight="1" x14ac:dyDescent="0.25">
      <c r="B361" s="11"/>
      <c r="M361" t="str">
        <f t="shared" si="49"/>
        <v>{"":{"":{"type":"","subtype":"","indent":,"default_value":"","docs_url":"","has_allowed_values":False,"allowed_values":""}}}</v>
      </c>
      <c r="N361" t="str">
        <f t="shared" si="67"/>
        <v>"type":"",</v>
      </c>
      <c r="O361" t="str">
        <f t="shared" si="68"/>
        <v>"subtype":"",</v>
      </c>
      <c r="P361" t="str">
        <f t="shared" si="52"/>
        <v>"indent":,</v>
      </c>
      <c r="Q361" t="str">
        <f t="shared" si="70"/>
        <v>"default_value":"",</v>
      </c>
      <c r="R361" t="str">
        <f t="shared" si="71"/>
        <v>"docs_url":"",</v>
      </c>
      <c r="S361" t="str">
        <f t="shared" si="69"/>
        <v>"has_allowed_values":False,</v>
      </c>
      <c r="T361" t="str">
        <f t="shared" si="55"/>
        <v>"allowed_values":""</v>
      </c>
    </row>
    <row r="362" spans="1:20" ht="15" hidden="1" customHeight="1" x14ac:dyDescent="0.25">
      <c r="B362" s="11"/>
      <c r="M362" t="str">
        <f t="shared" si="49"/>
        <v>{"":{"":{"type":"","subtype":"","indent":,"default_value":"","docs_url":"","has_allowed_values":False,"allowed_values":""}}}</v>
      </c>
      <c r="N362" t="str">
        <f t="shared" si="67"/>
        <v>"type":"",</v>
      </c>
      <c r="O362" t="str">
        <f t="shared" si="68"/>
        <v>"subtype":"",</v>
      </c>
      <c r="P362" t="str">
        <f t="shared" si="52"/>
        <v>"indent":,</v>
      </c>
      <c r="Q362" t="str">
        <f t="shared" si="70"/>
        <v>"default_value":"",</v>
      </c>
      <c r="R362" t="str">
        <f t="shared" si="71"/>
        <v>"docs_url":"",</v>
      </c>
      <c r="S362" t="str">
        <f t="shared" si="69"/>
        <v>"has_allowed_values":False,</v>
      </c>
      <c r="T362" t="str">
        <f t="shared" si="55"/>
        <v>"allowed_values":""</v>
      </c>
    </row>
    <row r="363" spans="1:20" ht="15" hidden="1" customHeight="1" x14ac:dyDescent="0.25">
      <c r="B363" s="11"/>
      <c r="M363" t="str">
        <f t="shared" si="49"/>
        <v>{"":{"":{"type":"","subtype":"","indent":,"default_value":"","docs_url":"","has_allowed_values":False,"allowed_values":""}}}</v>
      </c>
      <c r="N363" t="str">
        <f t="shared" si="67"/>
        <v>"type":"",</v>
      </c>
      <c r="O363" t="str">
        <f t="shared" si="68"/>
        <v>"subtype":"",</v>
      </c>
      <c r="P363" t="str">
        <f t="shared" si="52"/>
        <v>"indent":,</v>
      </c>
      <c r="Q363" t="str">
        <f t="shared" si="70"/>
        <v>"default_value":"",</v>
      </c>
      <c r="R363" t="str">
        <f t="shared" si="71"/>
        <v>"docs_url":"",</v>
      </c>
      <c r="S363" t="str">
        <f t="shared" si="69"/>
        <v>"has_allowed_values":False,</v>
      </c>
      <c r="T363" t="str">
        <f t="shared" si="55"/>
        <v>"allowed_values":""</v>
      </c>
    </row>
    <row r="364" spans="1:20" ht="15" hidden="1" customHeight="1" x14ac:dyDescent="0.25">
      <c r="B364" s="11"/>
      <c r="M364" t="str">
        <f t="shared" si="49"/>
        <v>{"":{"":{"type":"","subtype":"","indent":,"default_value":"","docs_url":"","has_allowed_values":False,"allowed_values":""}}}</v>
      </c>
      <c r="N364" t="str">
        <f t="shared" si="67"/>
        <v>"type":"",</v>
      </c>
      <c r="O364" t="str">
        <f t="shared" si="68"/>
        <v>"subtype":"",</v>
      </c>
      <c r="P364" t="str">
        <f t="shared" si="52"/>
        <v>"indent":,</v>
      </c>
      <c r="Q364" t="str">
        <f t="shared" si="70"/>
        <v>"default_value":"",</v>
      </c>
      <c r="R364" t="str">
        <f t="shared" si="71"/>
        <v>"docs_url":"",</v>
      </c>
      <c r="S364" t="str">
        <f t="shared" si="69"/>
        <v>"has_allowed_values":False,</v>
      </c>
      <c r="T364" t="str">
        <f t="shared" si="55"/>
        <v>"allowed_values":""</v>
      </c>
    </row>
    <row r="365" spans="1:20" ht="15" hidden="1" customHeight="1" x14ac:dyDescent="0.25">
      <c r="B365" s="11"/>
      <c r="M365" t="str">
        <f t="shared" si="49"/>
        <v>{"":{"":{"type":"","subtype":"","indent":,"default_value":"","docs_url":"","has_allowed_values":False,"allowed_values":""}}}</v>
      </c>
      <c r="N365" t="str">
        <f t="shared" si="67"/>
        <v>"type":"",</v>
      </c>
      <c r="O365" t="str">
        <f t="shared" si="68"/>
        <v>"subtype":"",</v>
      </c>
      <c r="P365" t="str">
        <f t="shared" si="52"/>
        <v>"indent":,</v>
      </c>
      <c r="Q365" t="str">
        <f t="shared" si="70"/>
        <v>"default_value":"",</v>
      </c>
      <c r="R365" t="str">
        <f t="shared" si="71"/>
        <v>"docs_url":"",</v>
      </c>
      <c r="S365" t="str">
        <f t="shared" si="69"/>
        <v>"has_allowed_values":False,</v>
      </c>
      <c r="T365" t="str">
        <f t="shared" si="55"/>
        <v>"allowed_values":""</v>
      </c>
    </row>
    <row r="366" spans="1:20" ht="15" hidden="1" customHeight="1" x14ac:dyDescent="0.25">
      <c r="B366" s="11"/>
      <c r="M366" t="str">
        <f t="shared" si="49"/>
        <v>{"":{"":{"type":"","subtype":"","indent":,"default_value":"","docs_url":"","has_allowed_values":False,"allowed_values":""}}}</v>
      </c>
      <c r="N366" t="str">
        <f t="shared" si="67"/>
        <v>"type":"",</v>
      </c>
      <c r="O366" t="str">
        <f t="shared" si="68"/>
        <v>"subtype":"",</v>
      </c>
      <c r="P366" t="str">
        <f t="shared" si="52"/>
        <v>"indent":,</v>
      </c>
      <c r="Q366" t="str">
        <f t="shared" si="70"/>
        <v>"default_value":"",</v>
      </c>
      <c r="R366" t="str">
        <f t="shared" si="71"/>
        <v>"docs_url":"",</v>
      </c>
      <c r="S366" t="str">
        <f t="shared" si="69"/>
        <v>"has_allowed_values":False,</v>
      </c>
      <c r="T366" t="str">
        <f t="shared" si="55"/>
        <v>"allowed_values":""</v>
      </c>
    </row>
    <row r="367" spans="1:20" ht="15" hidden="1" customHeight="1" x14ac:dyDescent="0.25">
      <c r="B367" s="11"/>
      <c r="M367" t="str">
        <f t="shared" si="49"/>
        <v>{"":{"":{"type":"","subtype":"","indent":,"default_value":"","docs_url":"","has_allowed_values":False,"allowed_values":""}}}</v>
      </c>
      <c r="N367" t="str">
        <f t="shared" si="67"/>
        <v>"type":"",</v>
      </c>
      <c r="O367" t="str">
        <f t="shared" si="68"/>
        <v>"subtype":"",</v>
      </c>
      <c r="P367" t="str">
        <f t="shared" si="52"/>
        <v>"indent":,</v>
      </c>
      <c r="Q367" t="str">
        <f t="shared" si="70"/>
        <v>"default_value":"",</v>
      </c>
      <c r="R367" t="str">
        <f t="shared" si="71"/>
        <v>"docs_url":"",</v>
      </c>
      <c r="S367" t="str">
        <f t="shared" si="69"/>
        <v>"has_allowed_values":False,</v>
      </c>
      <c r="T367" t="str">
        <f t="shared" si="55"/>
        <v>"allowed_values":""</v>
      </c>
    </row>
    <row r="368" spans="1:20" ht="15" hidden="1" customHeight="1" x14ac:dyDescent="0.25">
      <c r="B368" s="12"/>
      <c r="M368" t="str">
        <f t="shared" si="49"/>
        <v>{"":{"":{"type":"","subtype":"","indent":,"default_value":"","docs_url":"","has_allowed_values":False,"allowed_values":""}}}</v>
      </c>
      <c r="N368" t="str">
        <f t="shared" si="67"/>
        <v>"type":"",</v>
      </c>
      <c r="O368" t="str">
        <f t="shared" si="68"/>
        <v>"subtype":"",</v>
      </c>
      <c r="P368" t="str">
        <f t="shared" si="52"/>
        <v>"indent":,</v>
      </c>
      <c r="Q368" t="str">
        <f t="shared" si="70"/>
        <v>"default_value":"",</v>
      </c>
      <c r="R368" t="str">
        <f t="shared" si="71"/>
        <v>"docs_url":"",</v>
      </c>
      <c r="S368" t="str">
        <f t="shared" si="69"/>
        <v>"has_allowed_values":False,</v>
      </c>
      <c r="T368" t="str">
        <f t="shared" si="55"/>
        <v>"allowed_values":""</v>
      </c>
    </row>
    <row r="369" spans="13:20" ht="15" hidden="1" customHeight="1" x14ac:dyDescent="0.15">
      <c r="M369" t="str">
        <f t="shared" si="49"/>
        <v>{"":{"":{"type":"","subtype":"","indent":,"default_value":"","docs_url":"","has_allowed_values":False,"allowed_values":""}}}</v>
      </c>
      <c r="N369" t="str">
        <f t="shared" si="67"/>
        <v>"type":"",</v>
      </c>
      <c r="O369" t="str">
        <f t="shared" si="68"/>
        <v>"subtype":"",</v>
      </c>
      <c r="P369" t="str">
        <f t="shared" si="52"/>
        <v>"indent":,</v>
      </c>
      <c r="Q369" t="str">
        <f t="shared" si="70"/>
        <v>"default_value":"",</v>
      </c>
      <c r="R369" t="str">
        <f t="shared" si="71"/>
        <v>"docs_url":"",</v>
      </c>
      <c r="S369" t="str">
        <f t="shared" si="69"/>
        <v>"has_allowed_values":False,</v>
      </c>
      <c r="T369" t="str">
        <f t="shared" si="55"/>
        <v>"allowed_values":""</v>
      </c>
    </row>
    <row r="370" spans="13:20" ht="15" hidden="1" customHeight="1" x14ac:dyDescent="0.15">
      <c r="M370" t="str">
        <f t="shared" si="49"/>
        <v>{"":{"":{"type":"","subtype":"","indent":,"default_value":"","docs_url":"","has_allowed_values":False,"allowed_values":""}}}</v>
      </c>
      <c r="N370" t="str">
        <f t="shared" si="67"/>
        <v>"type":"",</v>
      </c>
      <c r="O370" t="str">
        <f t="shared" si="68"/>
        <v>"subtype":"",</v>
      </c>
      <c r="P370" t="str">
        <f t="shared" si="52"/>
        <v>"indent":,</v>
      </c>
      <c r="Q370" t="str">
        <f t="shared" si="70"/>
        <v>"default_value":"",</v>
      </c>
      <c r="R370" t="str">
        <f t="shared" si="71"/>
        <v>"docs_url":"",</v>
      </c>
      <c r="S370" t="str">
        <f t="shared" si="69"/>
        <v>"has_allowed_values":False,</v>
      </c>
      <c r="T370" t="str">
        <f t="shared" si="55"/>
        <v>"allowed_values":""</v>
      </c>
    </row>
    <row r="371" spans="13:20" ht="15" hidden="1" customHeight="1" x14ac:dyDescent="0.15">
      <c r="M371" t="str">
        <f t="shared" si="49"/>
        <v>{"":{"":{"type":"","subtype":"","indent":,"default_value":"","docs_url":"","has_allowed_values":False,"allowed_values":""}}}</v>
      </c>
      <c r="N371" t="str">
        <f t="shared" si="67"/>
        <v>"type":"",</v>
      </c>
      <c r="O371" t="str">
        <f t="shared" si="68"/>
        <v>"subtype":"",</v>
      </c>
      <c r="P371" t="str">
        <f t="shared" si="52"/>
        <v>"indent":,</v>
      </c>
      <c r="Q371" t="str">
        <f t="shared" si="70"/>
        <v>"default_value":"",</v>
      </c>
      <c r="R371" t="str">
        <f t="shared" si="71"/>
        <v>"docs_url":"",</v>
      </c>
      <c r="S371" t="str">
        <f t="shared" si="69"/>
        <v>"has_allowed_values":False,</v>
      </c>
      <c r="T371" t="str">
        <f t="shared" si="55"/>
        <v>"allowed_values":""</v>
      </c>
    </row>
    <row r="372" spans="13:20" ht="15" hidden="1" customHeight="1" x14ac:dyDescent="0.15">
      <c r="M372" t="str">
        <f t="shared" si="49"/>
        <v>{"":{"":{"type":"","subtype":"","indent":,"default_value":"","docs_url":"","has_allowed_values":False,"allowed_values":""}}}</v>
      </c>
      <c r="N372" t="str">
        <f t="shared" si="67"/>
        <v>"type":"",</v>
      </c>
      <c r="O372" t="str">
        <f t="shared" si="68"/>
        <v>"subtype":"",</v>
      </c>
      <c r="P372" t="str">
        <f t="shared" si="52"/>
        <v>"indent":,</v>
      </c>
      <c r="Q372" t="str">
        <f t="shared" si="70"/>
        <v>"default_value":"",</v>
      </c>
      <c r="R372" t="str">
        <f t="shared" si="71"/>
        <v>"docs_url":"",</v>
      </c>
      <c r="S372" t="str">
        <f t="shared" si="69"/>
        <v>"has_allowed_values":False,</v>
      </c>
      <c r="T372" t="str">
        <f t="shared" si="55"/>
        <v>"allowed_values":""</v>
      </c>
    </row>
    <row r="373" spans="13:20" ht="15" hidden="1" customHeight="1" x14ac:dyDescent="0.15">
      <c r="M373" t="str">
        <f t="shared" si="49"/>
        <v>{"":{"":{"type":"","subtype":"","indent":,"default_value":"","docs_url":"","has_allowed_values":False,"allowed_values":""}}}</v>
      </c>
      <c r="N373" t="str">
        <f t="shared" si="67"/>
        <v>"type":"",</v>
      </c>
      <c r="O373" t="str">
        <f t="shared" si="68"/>
        <v>"subtype":"",</v>
      </c>
      <c r="P373" t="str">
        <f t="shared" si="52"/>
        <v>"indent":,</v>
      </c>
      <c r="Q373" t="str">
        <f t="shared" si="70"/>
        <v>"default_value":"",</v>
      </c>
      <c r="R373" t="str">
        <f t="shared" si="71"/>
        <v>"docs_url":"",</v>
      </c>
      <c r="S373" t="str">
        <f t="shared" si="69"/>
        <v>"has_allowed_values":False,</v>
      </c>
      <c r="T373" t="str">
        <f t="shared" si="55"/>
        <v>"allowed_values":""</v>
      </c>
    </row>
    <row r="374" spans="13:20" ht="15" hidden="1" customHeight="1" x14ac:dyDescent="0.15">
      <c r="M374" t="str">
        <f t="shared" si="49"/>
        <v>{"":{"":{"type":"","subtype":"","indent":,"default_value":"","docs_url":"","has_allowed_values":False,"allowed_values":""}}}</v>
      </c>
      <c r="N374" t="str">
        <f t="shared" si="67"/>
        <v>"type":"",</v>
      </c>
      <c r="O374" t="str">
        <f t="shared" si="68"/>
        <v>"subtype":"",</v>
      </c>
      <c r="P374" t="str">
        <f t="shared" si="52"/>
        <v>"indent":,</v>
      </c>
      <c r="Q374" t="str">
        <f t="shared" si="70"/>
        <v>"default_value":"",</v>
      </c>
      <c r="R374" t="str">
        <f t="shared" si="71"/>
        <v>"docs_url":"",</v>
      </c>
      <c r="S374" t="str">
        <f t="shared" si="69"/>
        <v>"has_allowed_values":False,</v>
      </c>
      <c r="T374" t="str">
        <f t="shared" si="55"/>
        <v>"allowed_values":""</v>
      </c>
    </row>
    <row r="375" spans="13:20" ht="15" hidden="1" customHeight="1" x14ac:dyDescent="0.15">
      <c r="M375" t="str">
        <f t="shared" si="49"/>
        <v>{"":{"":{"type":"","subtype":"","indent":,"default_value":"","docs_url":"","has_allowed_values":False,"allowed_values":""}}}</v>
      </c>
      <c r="N375" t="str">
        <f t="shared" si="67"/>
        <v>"type":"",</v>
      </c>
      <c r="O375" t="str">
        <f t="shared" si="68"/>
        <v>"subtype":"",</v>
      </c>
      <c r="P375" t="str">
        <f t="shared" si="52"/>
        <v>"indent":,</v>
      </c>
      <c r="Q375" t="str">
        <f t="shared" si="70"/>
        <v>"default_value":"",</v>
      </c>
      <c r="R375" t="str">
        <f t="shared" si="71"/>
        <v>"docs_url":"",</v>
      </c>
      <c r="S375" t="str">
        <f t="shared" si="69"/>
        <v>"has_allowed_values":False,</v>
      </c>
      <c r="T375" t="str">
        <f t="shared" si="55"/>
        <v>"allowed_values":""</v>
      </c>
    </row>
    <row r="376" spans="13:20" ht="15" hidden="1" customHeight="1" x14ac:dyDescent="0.15">
      <c r="M376" t="str">
        <f t="shared" si="49"/>
        <v>{"":{"":{"type":"","subtype":"","indent":,"default_value":"","docs_url":"","has_allowed_values":False,"allowed_values":""}}}</v>
      </c>
      <c r="N376" t="str">
        <f t="shared" si="67"/>
        <v>"type":"",</v>
      </c>
      <c r="O376" t="str">
        <f t="shared" si="68"/>
        <v>"subtype":"",</v>
      </c>
      <c r="P376" t="str">
        <f t="shared" si="52"/>
        <v>"indent":,</v>
      </c>
      <c r="Q376" t="str">
        <f t="shared" si="70"/>
        <v>"default_value":"",</v>
      </c>
      <c r="R376" t="str">
        <f t="shared" si="71"/>
        <v>"docs_url":"",</v>
      </c>
      <c r="S376" t="str">
        <f t="shared" si="69"/>
        <v>"has_allowed_values":False,</v>
      </c>
      <c r="T376" t="str">
        <f t="shared" si="55"/>
        <v>"allowed_values":""</v>
      </c>
    </row>
    <row r="377" spans="13:20" ht="15" hidden="1" customHeight="1" x14ac:dyDescent="0.15">
      <c r="M377" t="str">
        <f t="shared" si="49"/>
        <v>{"":{"":{"type":"","subtype":"","indent":,"default_value":"","docs_url":"","has_allowed_values":False,"allowed_values":""}}}</v>
      </c>
      <c r="N377" t="str">
        <f t="shared" si="67"/>
        <v>"type":"",</v>
      </c>
      <c r="O377" t="str">
        <f t="shared" si="68"/>
        <v>"subtype":"",</v>
      </c>
      <c r="P377" t="str">
        <f t="shared" si="52"/>
        <v>"indent":,</v>
      </c>
      <c r="Q377" t="str">
        <f t="shared" si="70"/>
        <v>"default_value":"",</v>
      </c>
      <c r="R377" t="str">
        <f t="shared" si="71"/>
        <v>"docs_url":"",</v>
      </c>
      <c r="S377" t="str">
        <f t="shared" si="69"/>
        <v>"has_allowed_values":False,</v>
      </c>
      <c r="T377" t="str">
        <f t="shared" si="55"/>
        <v>"allowed_values":""</v>
      </c>
    </row>
    <row r="378" spans="13:20" ht="15" hidden="1" customHeight="1" x14ac:dyDescent="0.15">
      <c r="M378" t="str">
        <f t="shared" si="49"/>
        <v>{"":{"":{"type":"","subtype":"","indent":,"default_value":"","docs_url":"","has_allowed_values":False,"allowed_values":""}}}</v>
      </c>
      <c r="N378" t="str">
        <f t="shared" si="67"/>
        <v>"type":"",</v>
      </c>
      <c r="O378" t="str">
        <f t="shared" si="68"/>
        <v>"subtype":"",</v>
      </c>
      <c r="P378" t="str">
        <f t="shared" si="52"/>
        <v>"indent":,</v>
      </c>
      <c r="Q378" t="str">
        <f t="shared" si="70"/>
        <v>"default_value":"",</v>
      </c>
      <c r="R378" t="str">
        <f t="shared" si="71"/>
        <v>"docs_url":"",</v>
      </c>
      <c r="S378" t="str">
        <f t="shared" si="69"/>
        <v>"has_allowed_values":False,</v>
      </c>
      <c r="T378" t="str">
        <f t="shared" si="55"/>
        <v>"allowed_values":""</v>
      </c>
    </row>
    <row r="379" spans="13:20" ht="15" hidden="1" customHeight="1" x14ac:dyDescent="0.15">
      <c r="M379" t="str">
        <f t="shared" si="49"/>
        <v>{"":{"":{"type":"","subtype":"","indent":,"default_value":"","docs_url":"","has_allowed_values":False,"allowed_values":""}}}</v>
      </c>
      <c r="N379" t="str">
        <f t="shared" si="67"/>
        <v>"type":"",</v>
      </c>
      <c r="O379" t="str">
        <f t="shared" si="68"/>
        <v>"subtype":"",</v>
      </c>
      <c r="P379" t="str">
        <f t="shared" si="52"/>
        <v>"indent":,</v>
      </c>
      <c r="Q379" t="str">
        <f t="shared" si="70"/>
        <v>"default_value":"",</v>
      </c>
      <c r="R379" t="str">
        <f t="shared" si="71"/>
        <v>"docs_url":"",</v>
      </c>
      <c r="S379" t="str">
        <f t="shared" si="69"/>
        <v>"has_allowed_values":False,</v>
      </c>
      <c r="T379" t="str">
        <f t="shared" si="55"/>
        <v>"allowed_values":""</v>
      </c>
    </row>
    <row r="380" spans="13:20" ht="15" hidden="1" customHeight="1" x14ac:dyDescent="0.15">
      <c r="M380" t="str">
        <f t="shared" si="49"/>
        <v>{"":{"":{"type":"","subtype":"","indent":,"default_value":"","docs_url":"","has_allowed_values":False,"allowed_values":""}}}</v>
      </c>
      <c r="N380" t="str">
        <f t="shared" si="67"/>
        <v>"type":"",</v>
      </c>
      <c r="O380" t="str">
        <f t="shared" si="68"/>
        <v>"subtype":"",</v>
      </c>
      <c r="P380" t="str">
        <f t="shared" si="52"/>
        <v>"indent":,</v>
      </c>
      <c r="Q380" t="str">
        <f t="shared" si="70"/>
        <v>"default_value":"",</v>
      </c>
      <c r="R380" t="str">
        <f t="shared" si="71"/>
        <v>"docs_url":"",</v>
      </c>
      <c r="S380" t="str">
        <f t="shared" si="69"/>
        <v>"has_allowed_values":False,</v>
      </c>
      <c r="T380" t="str">
        <f t="shared" si="55"/>
        <v>"allowed_values":""</v>
      </c>
    </row>
    <row r="381" spans="13:20" ht="15" hidden="1" customHeight="1" x14ac:dyDescent="0.15">
      <c r="M381" t="str">
        <f t="shared" si="49"/>
        <v>{"":{"":{"type":"","subtype":"","indent":,"default_value":"","docs_url":"","has_allowed_values":False,"allowed_values":""}}}</v>
      </c>
      <c r="N381" t="str">
        <f t="shared" si="67"/>
        <v>"type":"",</v>
      </c>
      <c r="O381" t="str">
        <f t="shared" si="68"/>
        <v>"subtype":"",</v>
      </c>
      <c r="P381" t="str">
        <f t="shared" si="52"/>
        <v>"indent":,</v>
      </c>
      <c r="Q381" t="str">
        <f t="shared" si="70"/>
        <v>"default_value":"",</v>
      </c>
      <c r="R381" t="str">
        <f t="shared" si="71"/>
        <v>"docs_url":"",</v>
      </c>
      <c r="S381" t="str">
        <f t="shared" si="69"/>
        <v>"has_allowed_values":False,</v>
      </c>
      <c r="T381" t="str">
        <f t="shared" si="55"/>
        <v>"allowed_values":""</v>
      </c>
    </row>
    <row r="382" spans="13:20" ht="15" hidden="1" customHeight="1" x14ac:dyDescent="0.15">
      <c r="M382" t="str">
        <f t="shared" si="49"/>
        <v>{"":{"":{"type":"","subtype":"","indent":,"default_value":"","docs_url":"","has_allowed_values":False,"allowed_values":""}}}</v>
      </c>
      <c r="N382" t="str">
        <f t="shared" si="67"/>
        <v>"type":"",</v>
      </c>
      <c r="O382" t="str">
        <f t="shared" si="68"/>
        <v>"subtype":"",</v>
      </c>
      <c r="P382" t="str">
        <f t="shared" si="52"/>
        <v>"indent":,</v>
      </c>
      <c r="Q382" t="str">
        <f t="shared" si="70"/>
        <v>"default_value":"",</v>
      </c>
      <c r="R382" t="str">
        <f t="shared" si="71"/>
        <v>"docs_url":"",</v>
      </c>
      <c r="S382" t="str">
        <f t="shared" si="69"/>
        <v>"has_allowed_values":False,</v>
      </c>
      <c r="T382" t="str">
        <f t="shared" si="55"/>
        <v>"allowed_values":""</v>
      </c>
    </row>
    <row r="383" spans="13:20" ht="15" hidden="1" customHeight="1" x14ac:dyDescent="0.15">
      <c r="M383" t="str">
        <f t="shared" si="49"/>
        <v>{"":{"":{"type":"","subtype":"","indent":,"default_value":"","docs_url":"","has_allowed_values":False,"allowed_values":""}}}</v>
      </c>
      <c r="N383" t="str">
        <f t="shared" si="67"/>
        <v>"type":"",</v>
      </c>
      <c r="O383" t="str">
        <f t="shared" si="68"/>
        <v>"subtype":"",</v>
      </c>
      <c r="P383" t="str">
        <f t="shared" si="52"/>
        <v>"indent":,</v>
      </c>
      <c r="Q383" t="str">
        <f t="shared" si="70"/>
        <v>"default_value":"",</v>
      </c>
      <c r="R383" t="str">
        <f t="shared" si="71"/>
        <v>"docs_url":"",</v>
      </c>
      <c r="S383" t="str">
        <f t="shared" si="69"/>
        <v>"has_allowed_values":False,</v>
      </c>
      <c r="T383" t="str">
        <f t="shared" si="55"/>
        <v>"allowed_values":""</v>
      </c>
    </row>
    <row r="384" spans="13:20" ht="15" hidden="1" customHeight="1" x14ac:dyDescent="0.15">
      <c r="M384" t="str">
        <f t="shared" si="49"/>
        <v>{"":{"":{"type":"","subtype":"","indent":,"default_value":"","docs_url":"","has_allowed_values":False,"allowed_values":""}}}</v>
      </c>
      <c r="N384" t="str">
        <f t="shared" si="67"/>
        <v>"type":"",</v>
      </c>
      <c r="O384" t="str">
        <f t="shared" si="68"/>
        <v>"subtype":"",</v>
      </c>
      <c r="P384" t="str">
        <f t="shared" si="52"/>
        <v>"indent":,</v>
      </c>
      <c r="Q384" t="str">
        <f t="shared" si="70"/>
        <v>"default_value":"",</v>
      </c>
      <c r="R384" t="str">
        <f t="shared" si="71"/>
        <v>"docs_url":"",</v>
      </c>
      <c r="S384" t="str">
        <f t="shared" si="69"/>
        <v>"has_allowed_values":False,</v>
      </c>
      <c r="T384" t="str">
        <f t="shared" si="55"/>
        <v>"allowed_values":""</v>
      </c>
    </row>
    <row r="385" spans="13:20" ht="15" hidden="1" customHeight="1" x14ac:dyDescent="0.15">
      <c r="M385" t="str">
        <f t="shared" si="49"/>
        <v>{"":{"":{"type":"","subtype":"","indent":,"default_value":"","docs_url":"","has_allowed_values":False,"allowed_values":""}}}</v>
      </c>
      <c r="N385" t="str">
        <f t="shared" si="67"/>
        <v>"type":"",</v>
      </c>
      <c r="O385" t="str">
        <f t="shared" si="68"/>
        <v>"subtype":"",</v>
      </c>
      <c r="P385" t="str">
        <f t="shared" si="52"/>
        <v>"indent":,</v>
      </c>
      <c r="Q385" t="str">
        <f t="shared" si="70"/>
        <v>"default_value":"",</v>
      </c>
      <c r="R385" t="str">
        <f t="shared" si="71"/>
        <v>"docs_url":"",</v>
      </c>
      <c r="S385" t="str">
        <f t="shared" si="69"/>
        <v>"has_allowed_values":False,</v>
      </c>
      <c r="T385" t="str">
        <f t="shared" si="55"/>
        <v>"allowed_values":""</v>
      </c>
    </row>
    <row r="386" spans="13:20" ht="15" hidden="1" customHeight="1" x14ac:dyDescent="0.15">
      <c r="M386" t="str">
        <f t="shared" ref="M386:M409" si="72">"{"&amp;""""&amp;B386
&amp;""":{"&amp;""""&amp;C386&amp;""":{"&amp;_xlfn.CONCAT(N386:T386)&amp;"}}}"</f>
        <v>{"":{"":{"type":"","subtype":"","indent":,"default_value":"","docs_url":"","has_allowed_values":False,"allowed_values":""}}}</v>
      </c>
      <c r="N386" t="str">
        <f t="shared" si="67"/>
        <v>"type":"",</v>
      </c>
      <c r="O386" t="str">
        <f t="shared" si="68"/>
        <v>"subtype":"",</v>
      </c>
      <c r="P386" t="str">
        <f t="shared" si="52"/>
        <v>"indent":,</v>
      </c>
      <c r="Q386" t="str">
        <f t="shared" si="70"/>
        <v>"default_value":"",</v>
      </c>
      <c r="R386" t="str">
        <f t="shared" si="71"/>
        <v>"docs_url":"",</v>
      </c>
      <c r="S386" t="str">
        <f t="shared" si="69"/>
        <v>"has_allowed_values":False,</v>
      </c>
      <c r="T386" t="str">
        <f t="shared" si="55"/>
        <v>"allowed_values":""</v>
      </c>
    </row>
    <row r="387" spans="13:20" ht="15" hidden="1" customHeight="1" x14ac:dyDescent="0.15">
      <c r="M387" t="str">
        <f t="shared" si="72"/>
        <v>{"":{"":{"type":"","subtype":"","indent":,"default_value":"","docs_url":"","has_allowed_values":False,"allowed_values":""}}}</v>
      </c>
      <c r="N387" t="str">
        <f t="shared" si="67"/>
        <v>"type":"",</v>
      </c>
      <c r="O387" t="str">
        <f t="shared" si="68"/>
        <v>"subtype":"",</v>
      </c>
      <c r="P387" t="str">
        <f t="shared" ref="P387:P410" si="73">"""indent"":"&amp;F387&amp;","</f>
        <v>"indent":,</v>
      </c>
      <c r="Q387" t="str">
        <f t="shared" si="70"/>
        <v>"default_value":"",</v>
      </c>
      <c r="R387" t="str">
        <f t="shared" si="71"/>
        <v>"docs_url":"",</v>
      </c>
      <c r="S387" t="str">
        <f t="shared" si="69"/>
        <v>"has_allowed_values":False,</v>
      </c>
      <c r="T387" t="str">
        <f t="shared" ref="T387:T409" si="74">"""allowed_values"":"&amp;IF(J387&lt;&gt;"",J387,"""""")</f>
        <v>"allowed_values":""</v>
      </c>
    </row>
    <row r="388" spans="13:20" ht="15" hidden="1" customHeight="1" x14ac:dyDescent="0.15">
      <c r="M388" t="str">
        <f t="shared" si="72"/>
        <v>{"":{"":{"type":"","subtype":"","indent":,"default_value":"","docs_url":"","has_allowed_values":False,"allowed_values":""}}}</v>
      </c>
      <c r="N388" t="str">
        <f t="shared" si="67"/>
        <v>"type":"",</v>
      </c>
      <c r="O388" t="str">
        <f t="shared" si="68"/>
        <v>"subtype":"",</v>
      </c>
      <c r="P388" t="str">
        <f t="shared" si="73"/>
        <v>"indent":,</v>
      </c>
      <c r="Q388" t="str">
        <f t="shared" si="70"/>
        <v>"default_value":"",</v>
      </c>
      <c r="R388" t="str">
        <f t="shared" si="71"/>
        <v>"docs_url":"",</v>
      </c>
      <c r="S388" t="str">
        <f t="shared" si="69"/>
        <v>"has_allowed_values":False,</v>
      </c>
      <c r="T388" t="str">
        <f t="shared" si="74"/>
        <v>"allowed_values":""</v>
      </c>
    </row>
    <row r="389" spans="13:20" ht="15" hidden="1" customHeight="1" x14ac:dyDescent="0.15">
      <c r="M389" t="str">
        <f t="shared" si="72"/>
        <v>{"":{"":{"type":"","subtype":"","indent":,"default_value":"","docs_url":"","has_allowed_values":False,"allowed_values":""}}}</v>
      </c>
      <c r="N389" t="str">
        <f t="shared" si="67"/>
        <v>"type":"",</v>
      </c>
      <c r="O389" t="str">
        <f t="shared" si="68"/>
        <v>"subtype":"",</v>
      </c>
      <c r="P389" t="str">
        <f t="shared" si="73"/>
        <v>"indent":,</v>
      </c>
      <c r="Q389" t="str">
        <f t="shared" si="70"/>
        <v>"default_value":"",</v>
      </c>
      <c r="R389" t="str">
        <f t="shared" si="71"/>
        <v>"docs_url":"",</v>
      </c>
      <c r="S389" t="str">
        <f t="shared" si="69"/>
        <v>"has_allowed_values":False,</v>
      </c>
      <c r="T389" t="str">
        <f t="shared" si="74"/>
        <v>"allowed_values":""</v>
      </c>
    </row>
    <row r="390" spans="13:20" ht="15" hidden="1" customHeight="1" x14ac:dyDescent="0.15">
      <c r="M390" t="str">
        <f t="shared" si="72"/>
        <v>{"":{"":{"type":"","subtype":"","indent":,"default_value":"","docs_url":"","has_allowed_values":False,"allowed_values":""}}}</v>
      </c>
      <c r="N390" t="str">
        <f t="shared" si="67"/>
        <v>"type":"",</v>
      </c>
      <c r="O390" t="str">
        <f t="shared" si="68"/>
        <v>"subtype":"",</v>
      </c>
      <c r="P390" t="str">
        <f t="shared" si="73"/>
        <v>"indent":,</v>
      </c>
      <c r="Q390" t="str">
        <f t="shared" si="70"/>
        <v>"default_value":"",</v>
      </c>
      <c r="R390" t="str">
        <f t="shared" si="71"/>
        <v>"docs_url":"",</v>
      </c>
      <c r="S390" t="str">
        <f t="shared" si="69"/>
        <v>"has_allowed_values":False,</v>
      </c>
      <c r="T390" t="str">
        <f t="shared" si="74"/>
        <v>"allowed_values":""</v>
      </c>
    </row>
    <row r="391" spans="13:20" ht="15" hidden="1" customHeight="1" x14ac:dyDescent="0.15">
      <c r="M391" t="str">
        <f t="shared" si="72"/>
        <v>{"":{"":{"type":"","subtype":"","indent":,"default_value":"","docs_url":"","has_allowed_values":False,"allowed_values":""}}}</v>
      </c>
      <c r="N391" t="str">
        <f t="shared" si="67"/>
        <v>"type":"",</v>
      </c>
      <c r="O391" t="str">
        <f t="shared" si="68"/>
        <v>"subtype":"",</v>
      </c>
      <c r="P391" t="str">
        <f t="shared" si="73"/>
        <v>"indent":,</v>
      </c>
      <c r="Q391" t="str">
        <f t="shared" si="70"/>
        <v>"default_value":"",</v>
      </c>
      <c r="R391" t="str">
        <f t="shared" si="71"/>
        <v>"docs_url":"",</v>
      </c>
      <c r="S391" t="str">
        <f t="shared" si="69"/>
        <v>"has_allowed_values":False,</v>
      </c>
      <c r="T391" t="str">
        <f t="shared" si="74"/>
        <v>"allowed_values":""</v>
      </c>
    </row>
    <row r="392" spans="13:20" ht="15" hidden="1" customHeight="1" x14ac:dyDescent="0.15">
      <c r="M392" t="str">
        <f t="shared" si="72"/>
        <v>{"":{"":{"type":"","subtype":"","indent":,"default_value":"","docs_url":"","has_allowed_values":False,"allowed_values":""}}}</v>
      </c>
      <c r="N392" t="str">
        <f t="shared" si="67"/>
        <v>"type":"",</v>
      </c>
      <c r="O392" t="str">
        <f t="shared" si="68"/>
        <v>"subtype":"",</v>
      </c>
      <c r="P392" t="str">
        <f t="shared" si="73"/>
        <v>"indent":,</v>
      </c>
      <c r="Q392" t="str">
        <f t="shared" si="70"/>
        <v>"default_value":"",</v>
      </c>
      <c r="R392" t="str">
        <f t="shared" si="71"/>
        <v>"docs_url":"",</v>
      </c>
      <c r="S392" t="str">
        <f t="shared" si="69"/>
        <v>"has_allowed_values":False,</v>
      </c>
      <c r="T392" t="str">
        <f t="shared" si="74"/>
        <v>"allowed_values":""</v>
      </c>
    </row>
    <row r="393" spans="13:20" ht="15" hidden="1" customHeight="1" x14ac:dyDescent="0.15">
      <c r="M393" t="str">
        <f t="shared" si="72"/>
        <v>{"":{"":{"type":"","subtype":"","indent":,"default_value":"","docs_url":"","has_allowed_values":False,"allowed_values":""}}}</v>
      </c>
      <c r="N393" t="str">
        <f t="shared" si="67"/>
        <v>"type":"",</v>
      </c>
      <c r="O393" t="str">
        <f t="shared" si="68"/>
        <v>"subtype":"",</v>
      </c>
      <c r="P393" t="str">
        <f t="shared" si="73"/>
        <v>"indent":,</v>
      </c>
      <c r="Q393" t="str">
        <f t="shared" si="70"/>
        <v>"default_value":"",</v>
      </c>
      <c r="R393" t="str">
        <f t="shared" si="71"/>
        <v>"docs_url":"",</v>
      </c>
      <c r="S393" t="str">
        <f t="shared" si="69"/>
        <v>"has_allowed_values":False,</v>
      </c>
      <c r="T393" t="str">
        <f t="shared" si="74"/>
        <v>"allowed_values":""</v>
      </c>
    </row>
    <row r="394" spans="13:20" ht="15" hidden="1" customHeight="1" x14ac:dyDescent="0.15">
      <c r="M394" t="str">
        <f t="shared" si="72"/>
        <v>{"":{"":{"type":"","subtype":"","indent":,"default_value":"","docs_url":"","has_allowed_values":False,"allowed_values":""}}}</v>
      </c>
      <c r="N394" t="str">
        <f t="shared" si="67"/>
        <v>"type":"",</v>
      </c>
      <c r="O394" t="str">
        <f t="shared" si="68"/>
        <v>"subtype":"",</v>
      </c>
      <c r="P394" t="str">
        <f t="shared" si="73"/>
        <v>"indent":,</v>
      </c>
      <c r="Q394" t="str">
        <f t="shared" si="70"/>
        <v>"default_value":"",</v>
      </c>
      <c r="R394" t="str">
        <f t="shared" si="71"/>
        <v>"docs_url":"",</v>
      </c>
      <c r="S394" t="str">
        <f t="shared" si="69"/>
        <v>"has_allowed_values":False,</v>
      </c>
      <c r="T394" t="str">
        <f t="shared" si="74"/>
        <v>"allowed_values":""</v>
      </c>
    </row>
    <row r="395" spans="13:20" ht="15" hidden="1" customHeight="1" x14ac:dyDescent="0.15">
      <c r="M395" t="str">
        <f t="shared" si="72"/>
        <v>{"":{"":{"type":"","subtype":"","indent":,"default_value":"","docs_url":"","has_allowed_values":False,"allowed_values":""}}}</v>
      </c>
      <c r="N395" t="str">
        <f t="shared" si="67"/>
        <v>"type":"",</v>
      </c>
      <c r="O395" t="str">
        <f t="shared" si="68"/>
        <v>"subtype":"",</v>
      </c>
      <c r="P395" t="str">
        <f t="shared" si="73"/>
        <v>"indent":,</v>
      </c>
      <c r="Q395" t="str">
        <f t="shared" si="70"/>
        <v>"default_value":"",</v>
      </c>
      <c r="R395" t="str">
        <f t="shared" si="71"/>
        <v>"docs_url":"",</v>
      </c>
      <c r="S395" t="str">
        <f t="shared" si="69"/>
        <v>"has_allowed_values":False,</v>
      </c>
      <c r="T395" t="str">
        <f t="shared" si="74"/>
        <v>"allowed_values":""</v>
      </c>
    </row>
    <row r="396" spans="13:20" ht="15" hidden="1" customHeight="1" x14ac:dyDescent="0.15">
      <c r="M396" t="str">
        <f t="shared" si="72"/>
        <v>{"":{"":{"type":"","subtype":"","indent":,"default_value":"","docs_url":"","has_allowed_values":False,"allowed_values":""}}}</v>
      </c>
      <c r="N396" t="str">
        <f t="shared" si="67"/>
        <v>"type":"",</v>
      </c>
      <c r="O396" t="str">
        <f t="shared" si="68"/>
        <v>"subtype":"",</v>
      </c>
      <c r="P396" t="str">
        <f t="shared" si="73"/>
        <v>"indent":,</v>
      </c>
      <c r="Q396" t="str">
        <f t="shared" si="70"/>
        <v>"default_value":"",</v>
      </c>
      <c r="R396" t="str">
        <f t="shared" si="71"/>
        <v>"docs_url":"",</v>
      </c>
      <c r="S396" t="str">
        <f t="shared" si="69"/>
        <v>"has_allowed_values":False,</v>
      </c>
      <c r="T396" t="str">
        <f t="shared" si="74"/>
        <v>"allowed_values":""</v>
      </c>
    </row>
    <row r="397" spans="13:20" ht="15" hidden="1" customHeight="1" x14ac:dyDescent="0.15">
      <c r="M397" t="str">
        <f t="shared" si="72"/>
        <v>{"":{"":{"type":"","subtype":"","indent":,"default_value":"","docs_url":"","has_allowed_values":False,"allowed_values":""}}}</v>
      </c>
      <c r="N397" t="str">
        <f t="shared" si="67"/>
        <v>"type":"",</v>
      </c>
      <c r="O397" t="str">
        <f t="shared" si="68"/>
        <v>"subtype":"",</v>
      </c>
      <c r="P397" t="str">
        <f t="shared" si="73"/>
        <v>"indent":,</v>
      </c>
      <c r="Q397" t="str">
        <f t="shared" si="70"/>
        <v>"default_value":"",</v>
      </c>
      <c r="R397" t="str">
        <f t="shared" si="71"/>
        <v>"docs_url":"",</v>
      </c>
      <c r="S397" t="str">
        <f t="shared" si="69"/>
        <v>"has_allowed_values":False,</v>
      </c>
      <c r="T397" t="str">
        <f t="shared" si="74"/>
        <v>"allowed_values":""</v>
      </c>
    </row>
    <row r="398" spans="13:20" ht="15" hidden="1" customHeight="1" x14ac:dyDescent="0.15">
      <c r="M398" t="str">
        <f t="shared" si="72"/>
        <v>{"":{"":{"type":"","subtype":"","indent":,"default_value":"","docs_url":"","has_allowed_values":False,"allowed_values":""}}}</v>
      </c>
      <c r="N398" t="str">
        <f t="shared" si="67"/>
        <v>"type":"",</v>
      </c>
      <c r="O398" t="str">
        <f t="shared" si="68"/>
        <v>"subtype":"",</v>
      </c>
      <c r="P398" t="str">
        <f t="shared" si="73"/>
        <v>"indent":,</v>
      </c>
      <c r="Q398" t="str">
        <f t="shared" si="70"/>
        <v>"default_value":"",</v>
      </c>
      <c r="R398" t="str">
        <f t="shared" si="71"/>
        <v>"docs_url":"",</v>
      </c>
      <c r="S398" t="str">
        <f t="shared" si="69"/>
        <v>"has_allowed_values":False,</v>
      </c>
      <c r="T398" t="str">
        <f t="shared" si="74"/>
        <v>"allowed_values":""</v>
      </c>
    </row>
    <row r="399" spans="13:20" ht="15" hidden="1" customHeight="1" x14ac:dyDescent="0.15">
      <c r="M399" t="str">
        <f t="shared" si="72"/>
        <v>{"":{"":{"type":"","subtype":"","indent":,"default_value":"","docs_url":"","has_allowed_values":False,"allowed_values":""}}}</v>
      </c>
      <c r="N399" t="str">
        <f t="shared" si="67"/>
        <v>"type":"",</v>
      </c>
      <c r="O399" t="str">
        <f t="shared" si="68"/>
        <v>"subtype":"",</v>
      </c>
      <c r="P399" t="str">
        <f t="shared" si="73"/>
        <v>"indent":,</v>
      </c>
      <c r="Q399" t="str">
        <f t="shared" si="70"/>
        <v>"default_value":"",</v>
      </c>
      <c r="R399" t="str">
        <f t="shared" si="71"/>
        <v>"docs_url":"",</v>
      </c>
      <c r="S399" t="str">
        <f t="shared" si="69"/>
        <v>"has_allowed_values":False,</v>
      </c>
      <c r="T399" t="str">
        <f t="shared" si="74"/>
        <v>"allowed_values":""</v>
      </c>
    </row>
    <row r="400" spans="13:20" ht="15" hidden="1" customHeight="1" x14ac:dyDescent="0.15">
      <c r="M400" t="str">
        <f t="shared" si="72"/>
        <v>{"":{"":{"type":"","subtype":"","indent":,"default_value":"","docs_url":"","has_allowed_values":False,"allowed_values":""}}}</v>
      </c>
      <c r="N400" t="str">
        <f t="shared" si="67"/>
        <v>"type":"",</v>
      </c>
      <c r="O400" t="str">
        <f t="shared" si="68"/>
        <v>"subtype":"",</v>
      </c>
      <c r="P400" t="str">
        <f t="shared" si="73"/>
        <v>"indent":,</v>
      </c>
      <c r="Q400" t="str">
        <f t="shared" si="70"/>
        <v>"default_value":"",</v>
      </c>
      <c r="R400" t="str">
        <f t="shared" si="71"/>
        <v>"docs_url":"",</v>
      </c>
      <c r="S400" t="str">
        <f t="shared" si="69"/>
        <v>"has_allowed_values":False,</v>
      </c>
      <c r="T400" t="str">
        <f t="shared" si="74"/>
        <v>"allowed_values":""</v>
      </c>
    </row>
    <row r="401" spans="13:20" ht="15" hidden="1" customHeight="1" x14ac:dyDescent="0.15">
      <c r="M401" t="str">
        <f t="shared" si="72"/>
        <v>{"":{"":{"type":"","subtype":"","indent":,"default_value":"","docs_url":"","has_allowed_values":False,"allowed_values":""}}}</v>
      </c>
      <c r="N401" t="str">
        <f t="shared" si="67"/>
        <v>"type":"",</v>
      </c>
      <c r="O401" t="str">
        <f t="shared" si="68"/>
        <v>"subtype":"",</v>
      </c>
      <c r="P401" t="str">
        <f t="shared" si="73"/>
        <v>"indent":,</v>
      </c>
      <c r="Q401" t="str">
        <f t="shared" si="70"/>
        <v>"default_value":"",</v>
      </c>
      <c r="R401" t="str">
        <f t="shared" si="71"/>
        <v>"docs_url":"",</v>
      </c>
      <c r="S401" t="str">
        <f t="shared" si="69"/>
        <v>"has_allowed_values":False,</v>
      </c>
      <c r="T401" t="str">
        <f t="shared" si="74"/>
        <v>"allowed_values":""</v>
      </c>
    </row>
    <row r="402" spans="13:20" ht="15" hidden="1" customHeight="1" x14ac:dyDescent="0.15">
      <c r="M402" t="str">
        <f t="shared" si="72"/>
        <v>{"":{"":{"type":"","subtype":"","indent":,"default_value":"","docs_url":"","has_allowed_values":False,"allowed_values":""}}}</v>
      </c>
      <c r="N402" t="str">
        <f t="shared" si="67"/>
        <v>"type":"",</v>
      </c>
      <c r="O402" t="str">
        <f t="shared" si="68"/>
        <v>"subtype":"",</v>
      </c>
      <c r="P402" t="str">
        <f t="shared" si="73"/>
        <v>"indent":,</v>
      </c>
      <c r="Q402" t="str">
        <f t="shared" si="70"/>
        <v>"default_value":"",</v>
      </c>
      <c r="R402" t="str">
        <f t="shared" si="71"/>
        <v>"docs_url":"",</v>
      </c>
      <c r="S402" t="str">
        <f t="shared" si="69"/>
        <v>"has_allowed_values":False,</v>
      </c>
      <c r="T402" t="str">
        <f t="shared" si="74"/>
        <v>"allowed_values":""</v>
      </c>
    </row>
    <row r="403" spans="13:20" ht="15" hidden="1" customHeight="1" x14ac:dyDescent="0.15">
      <c r="M403" t="str">
        <f t="shared" si="72"/>
        <v>{"":{"":{"type":"","subtype":"","indent":,"default_value":"","docs_url":"","has_allowed_values":False,"allowed_values":""}}}</v>
      </c>
      <c r="N403" t="str">
        <f t="shared" si="67"/>
        <v>"type":"",</v>
      </c>
      <c r="O403" t="str">
        <f t="shared" si="68"/>
        <v>"subtype":"",</v>
      </c>
      <c r="P403" t="str">
        <f t="shared" si="73"/>
        <v>"indent":,</v>
      </c>
      <c r="Q403" t="str">
        <f t="shared" si="70"/>
        <v>"default_value":"",</v>
      </c>
      <c r="R403" t="str">
        <f t="shared" si="71"/>
        <v>"docs_url":"",</v>
      </c>
      <c r="S403" t="str">
        <f t="shared" si="69"/>
        <v>"has_allowed_values":False,</v>
      </c>
      <c r="T403" t="str">
        <f t="shared" si="74"/>
        <v>"allowed_values":""</v>
      </c>
    </row>
    <row r="404" spans="13:20" ht="15" hidden="1" customHeight="1" x14ac:dyDescent="0.15">
      <c r="M404" t="str">
        <f t="shared" si="72"/>
        <v>{"":{"":{"type":"","subtype":"","indent":,"default_value":"","docs_url":"","has_allowed_values":False,"allowed_values":""}}}</v>
      </c>
      <c r="N404" t="str">
        <f t="shared" si="67"/>
        <v>"type":"",</v>
      </c>
      <c r="O404" t="str">
        <f t="shared" si="68"/>
        <v>"subtype":"",</v>
      </c>
      <c r="P404" t="str">
        <f t="shared" si="73"/>
        <v>"indent":,</v>
      </c>
      <c r="Q404" t="str">
        <f t="shared" si="70"/>
        <v>"default_value":"",</v>
      </c>
      <c r="R404" t="str">
        <f t="shared" si="71"/>
        <v>"docs_url":"",</v>
      </c>
      <c r="S404" t="str">
        <f t="shared" si="69"/>
        <v>"has_allowed_values":False,</v>
      </c>
      <c r="T404" t="str">
        <f t="shared" si="74"/>
        <v>"allowed_values":""</v>
      </c>
    </row>
    <row r="405" spans="13:20" ht="15" hidden="1" customHeight="1" x14ac:dyDescent="0.15">
      <c r="M405" t="str">
        <f t="shared" si="72"/>
        <v>{"":{"":{"type":"","subtype":"","indent":,"default_value":"","docs_url":"","has_allowed_values":False,"allowed_values":""}}}</v>
      </c>
      <c r="N405" t="str">
        <f t="shared" si="67"/>
        <v>"type":"",</v>
      </c>
      <c r="O405" t="str">
        <f t="shared" si="68"/>
        <v>"subtype":"",</v>
      </c>
      <c r="P405" t="str">
        <f t="shared" si="73"/>
        <v>"indent":,</v>
      </c>
      <c r="Q405" t="str">
        <f t="shared" si="70"/>
        <v>"default_value":"",</v>
      </c>
      <c r="R405" t="str">
        <f t="shared" si="71"/>
        <v>"docs_url":"",</v>
      </c>
      <c r="S405" t="str">
        <f t="shared" si="69"/>
        <v>"has_allowed_values":False,</v>
      </c>
      <c r="T405" t="str">
        <f t="shared" si="74"/>
        <v>"allowed_values":""</v>
      </c>
    </row>
    <row r="406" spans="13:20" ht="15" hidden="1" customHeight="1" x14ac:dyDescent="0.15">
      <c r="M406" t="str">
        <f t="shared" si="72"/>
        <v>{"":{"":{"type":"","subtype":"","indent":,"default_value":"","docs_url":"","has_allowed_values":False,"allowed_values":""}}}</v>
      </c>
      <c r="N406" t="str">
        <f t="shared" si="67"/>
        <v>"type":"",</v>
      </c>
      <c r="O406" t="str">
        <f t="shared" si="68"/>
        <v>"subtype":"",</v>
      </c>
      <c r="P406" t="str">
        <f t="shared" si="73"/>
        <v>"indent":,</v>
      </c>
      <c r="Q406" t="str">
        <f t="shared" si="70"/>
        <v>"default_value":"",</v>
      </c>
      <c r="R406" t="str">
        <f t="shared" si="71"/>
        <v>"docs_url":"",</v>
      </c>
      <c r="S406" t="str">
        <f t="shared" si="69"/>
        <v>"has_allowed_values":False,</v>
      </c>
      <c r="T406" t="str">
        <f t="shared" si="74"/>
        <v>"allowed_values":""</v>
      </c>
    </row>
    <row r="407" spans="13:20" ht="15" hidden="1" customHeight="1" x14ac:dyDescent="0.15">
      <c r="M407" t="str">
        <f t="shared" si="72"/>
        <v>{"":{"":{"type":"","subtype":"","indent":,"default_value":"","docs_url":"","has_allowed_values":False,"allowed_values":""}}}</v>
      </c>
      <c r="N407" t="str">
        <f t="shared" si="67"/>
        <v>"type":"",</v>
      </c>
      <c r="O407" t="str">
        <f t="shared" si="68"/>
        <v>"subtype":"",</v>
      </c>
      <c r="P407" t="str">
        <f t="shared" si="73"/>
        <v>"indent":,</v>
      </c>
      <c r="Q407" t="str">
        <f t="shared" si="70"/>
        <v>"default_value":"",</v>
      </c>
      <c r="R407" t="str">
        <f t="shared" si="71"/>
        <v>"docs_url":"",</v>
      </c>
      <c r="S407" t="str">
        <f t="shared" si="69"/>
        <v>"has_allowed_values":False,</v>
      </c>
      <c r="T407" t="str">
        <f t="shared" si="74"/>
        <v>"allowed_values":""</v>
      </c>
    </row>
    <row r="408" spans="13:20" ht="15" hidden="1" customHeight="1" x14ac:dyDescent="0.15">
      <c r="M408" t="str">
        <f t="shared" si="72"/>
        <v>{"":{"":{"type":"","subtype":"","indent":,"default_value":"","docs_url":"","has_allowed_values":False,"allowed_values":""}}}</v>
      </c>
      <c r="N408" t="str">
        <f t="shared" si="67"/>
        <v>"type":"",</v>
      </c>
      <c r="O408" t="str">
        <f t="shared" si="68"/>
        <v>"subtype":"",</v>
      </c>
      <c r="P408" t="str">
        <f t="shared" si="73"/>
        <v>"indent":,</v>
      </c>
      <c r="Q408" t="str">
        <f t="shared" si="70"/>
        <v>"default_value":"",</v>
      </c>
      <c r="R408" t="str">
        <f t="shared" si="71"/>
        <v>"docs_url":"",</v>
      </c>
      <c r="S408" t="str">
        <f t="shared" si="69"/>
        <v>"has_allowed_values":False,</v>
      </c>
      <c r="T408" t="str">
        <f t="shared" si="74"/>
        <v>"allowed_values":""</v>
      </c>
    </row>
    <row r="409" spans="13:20" ht="15" hidden="1" customHeight="1" x14ac:dyDescent="0.15">
      <c r="M409" t="str">
        <f t="shared" si="72"/>
        <v>{"":{"":{"type":"","subtype":"","indent":,"default_value":"","docs_url":"","has_allowed_values":False,"allowed_values":""}}}</v>
      </c>
      <c r="N409" t="str">
        <f t="shared" si="67"/>
        <v>"type":"",</v>
      </c>
      <c r="O409" t="str">
        <f t="shared" si="68"/>
        <v>"subtype":"",</v>
      </c>
      <c r="P409" t="str">
        <f t="shared" si="73"/>
        <v>"indent":,</v>
      </c>
      <c r="Q409" t="str">
        <f t="shared" si="70"/>
        <v>"default_value":"",</v>
      </c>
      <c r="R409" t="str">
        <f t="shared" si="71"/>
        <v>"docs_url":"",</v>
      </c>
      <c r="S409" t="str">
        <f t="shared" si="69"/>
        <v>"has_allowed_values":False,</v>
      </c>
      <c r="T409" t="str">
        <f t="shared" si="74"/>
        <v>"allowed_values":""</v>
      </c>
    </row>
  </sheetData>
  <autoFilter ref="A1:J409" xr:uid="{ADA28AC6-3A3D-CB4D-A516-D61924D83BF1}">
    <filterColumn colId="2">
      <filters>
        <filter val="query"/>
      </filters>
    </filterColumn>
  </autoFilter>
  <conditionalFormatting sqref="B1:B350 B352:B355 B369:B1048576">
    <cfRule type="duplicateValues" dxfId="2" priority="3"/>
  </conditionalFormatting>
  <conditionalFormatting sqref="B356:B357">
    <cfRule type="duplicateValues" dxfId="1" priority="2"/>
  </conditionalFormatting>
  <conditionalFormatting sqref="B351">
    <cfRule type="duplicateValues" dxfId="0" priority="1"/>
  </conditionalFormatting>
  <hyperlinks>
    <hyperlink ref="B2" r:id="rId1" display="access_grant: identifier" xr:uid="{067CB811-3245-5D40-9DF5-DFEBBBBFFAD7}"/>
    <hyperlink ref="B3" r:id="rId2" display="case_sensitive: yes or no" xr:uid="{5F57A637-C80F-B448-863B-6496E5692ECB}"/>
    <hyperlink ref="B4" r:id="rId3" display="connection: &quot;string&quot;" xr:uid="{0F32F650-6776-1A45-9B14-57DDB17A2CAF}"/>
    <hyperlink ref="B5" r:id="rId4" display="datagroup: identifier" xr:uid="{62992487-7BE2-354B-A3A1-3F7E11A943CF}"/>
    <hyperlink ref="B6" r:id="rId5" display="explore: identifier" xr:uid="{DD6AB302-F744-8A42-B116-1C49F091C603}"/>
    <hyperlink ref="B7" r:id="rId6" display="fiscal_month_offset: number" xr:uid="{EB5587C0-86E9-7441-BE83-B2103C616F20}"/>
    <hyperlink ref="B8" r:id="rId7" display="include: &quot;string&quot;" xr:uid="{F2E659B3-2859-2D4D-8B6F-A07DA9923433}"/>
    <hyperlink ref="B9" r:id="rId8" display="label: possibly-localized-string" xr:uid="{C8F8CCBC-30E4-904B-AF39-2020E396703F}"/>
    <hyperlink ref="B10" r:id="rId9" display="map_layer: identifier" xr:uid="{69F62F5A-47B9-264B-9D57-DA0E9503D130}"/>
    <hyperlink ref="B11" r:id="rId10" display="named_value_format: identifier" xr:uid="{986BB612-C6C5-0F49-BD6D-3345ED3FD275}"/>
    <hyperlink ref="B12" r:id="rId11" display="persist_for: &quot;string&quot;" xr:uid="{3AE90709-7A08-F04F-BE47-5E1BDE231D8B}"/>
    <hyperlink ref="B13" r:id="rId12" display="persist_with: datagroup-ref" xr:uid="{7CA673A6-45CA-4F4E-87D3-A3D5DDAE3C66}"/>
    <hyperlink ref="B14" r:id="rId13" display="test: identifier" xr:uid="{0A01DC7B-FC68-F94B-AED9-5A1F3159DED0}"/>
    <hyperlink ref="B15" r:id="rId14" display="view: identifier" xr:uid="{9515AAB8-F8AC-4E48-91A7-2E54EB7D4BFD}"/>
    <hyperlink ref="B16" r:id="rId15" display="week_start_day: monday or ..." xr:uid="{A3E46B55-2C5E-9648-9CD3-AAD18A88B2C8}"/>
    <hyperlink ref="B17" r:id="rId16" display="local_dependency:" xr:uid="{0439413E-B16B-DA4C-9708-931A34B728E7}"/>
    <hyperlink ref="B18" r:id="rId17" display="remote_dependency: identifier" xr:uid="{7410427D-FDEA-4748-A2F6-8BA4E1BA77FE}"/>
    <hyperlink ref="B19" r:id="rId18" display="localization_settings:" xr:uid="{E0D8DA7A-1B07-0242-ADBD-DF2DF70C89A8}"/>
    <hyperlink ref="B20" r:id="rId19" display="project_name: project-name" xr:uid="{6CC01C75-A9C5-E246-85D5-A1AF695B10BC}"/>
    <hyperlink ref="B21" r:id="rId20" display="constant: constant-ref" xr:uid="{D0D37E52-25F9-584D-924B-ADA658C44B06}"/>
    <hyperlink ref="B22" r:id="rId21" display="application: identifier" xr:uid="{037FCE09-F601-CE46-80B9-6E6994B16AE3}"/>
    <hyperlink ref="B23" r:id="rId22" display="dimension: identifier" xr:uid="{014A2BD1-8C24-EE42-946A-1D5447C86369}"/>
    <hyperlink ref="B24" r:id="rId23" display="dimension_group: identifier" xr:uid="{50DD15B4-C944-304E-9A6C-E4B1E5855579}"/>
    <hyperlink ref="B25" r:id="rId24" display="drill_fields: [field-ref]" xr:uid="{3DB105C4-DA7F-264E-AA36-EF278A75E6E7}"/>
    <hyperlink ref="B26" r:id="rId25" display="extends: [view-ref]" xr:uid="{994DF246-9529-114C-8006-2B0F621CBDD0}"/>
    <hyperlink ref="B27" r:id="rId26" display="extension: required or ..." xr:uid="{58435646-3EC0-A74C-B7DC-23F450C4C8EE}"/>
    <hyperlink ref="B28" r:id="rId27" display="filter: identifier" xr:uid="{DA796B10-45D0-544A-9E92-5E78C4038BEF}"/>
    <hyperlink ref="B29" r:id="rId28" display="final: yes or no" xr:uid="{1D20448E-6639-8346-99B6-BD3528795624}"/>
    <hyperlink ref="B30" r:id="rId29" display="label: possibly-localized-string" xr:uid="{CBB675A1-9141-E844-88F8-292D9A2D85CA}"/>
    <hyperlink ref="B31" r:id="rId30" display="measure: identifier" xr:uid="{8A89E075-C2AB-3A4B-91D6-2AF19674BDBB}"/>
    <hyperlink ref="B32" r:id="rId31" display="parameter: identifier" xr:uid="{94673B7F-F835-744A-9DB4-3B3B8182089B}"/>
    <hyperlink ref="B33" r:id="rId32" display="derived_table:" xr:uid="{20254298-1C29-DC43-87B5-3EA77B8097A7}"/>
    <hyperlink ref="B34" r:id="rId33" display="required_access_grants: [access-grant-ref]" xr:uid="{6DEFE31A-06B6-9A4F-A962-E2E9BA01E7EB}"/>
    <hyperlink ref="B35" r:id="rId34" display="set: identifier" xr:uid="{7E2122BF-EBE8-E547-A513-91BD531542AC}"/>
    <hyperlink ref="B36" r:id="rId35" display="sql_table_name: sql-block ;;" xr:uid="{CCC86CE5-EF3B-374A-9A56-EA2C7E0E914F}"/>
    <hyperlink ref="B37" r:id="rId36" display="suggestions: yes or no" xr:uid="{FE02D67B-9261-C54F-AF76-4359B656610C}"/>
    <hyperlink ref="B38" r:id="rId37" display="view_label: possibly-localized-string" xr:uid="{801271DC-6580-874A-A932-75A2B3DF5B17}"/>
    <hyperlink ref="B39" r:id="rId38" display="access_filter:" xr:uid="{A22966ED-8E4F-0A4D-B317-6A0B353A29D5}"/>
    <hyperlink ref="B40" r:id="rId39" display="aggregate_table: identifier" xr:uid="{C48307D2-55A2-6B45-84D0-CBD758127EE6}"/>
    <hyperlink ref="B41" r:id="rId40" display="always_filter:" xr:uid="{96B42367-0A1E-344F-97F7-810B49D14DE5}"/>
    <hyperlink ref="B42" r:id="rId41" display="always_join: [view-ref]" xr:uid="{B222A8E6-FC3C-344E-A152-E1634F5652F6}"/>
    <hyperlink ref="B43" r:id="rId42" display="cancel_grouping_fields: [field-ref]" xr:uid="{160AA1A5-B4D8-8046-B0FF-1EE38CBAD8CF}"/>
    <hyperlink ref="B44" r:id="rId43" display="conditionally_filter:" xr:uid="{8B719EF1-5703-3545-9BF7-F3315B585DC4}"/>
    <hyperlink ref="B45" r:id="rId44" display="case_sensitive: yes or no" xr:uid="{BB1F5B0D-8129-F24A-A6E8-A9866B2CDE78}"/>
    <hyperlink ref="B46" r:id="rId45" display="description: possibly-localized-string" xr:uid="{C0937431-F976-DB42-A4BD-635951D07706}"/>
    <hyperlink ref="B47" r:id="rId46" display="group_label: possibly-localized-string" xr:uid="{8D8699CB-E44A-EB49-A1CE-E87E7D2C100A}"/>
    <hyperlink ref="B48" r:id="rId47" display="extends: [explore-ref]" xr:uid="{9D24BE10-56B9-0146-B68C-2BBAA8E6A0DE}"/>
    <hyperlink ref="B49" r:id="rId48" display="extension: required or ..." xr:uid="{4DAA8906-76B9-8744-B064-B48C91C106B9}"/>
    <hyperlink ref="B50" r:id="rId49" display="from: view-ref" xr:uid="{DBE8C85E-7D10-BC4F-8CAC-24621443E405}"/>
    <hyperlink ref="B51" r:id="rId50" display="fields: [field-ref]" xr:uid="{FED6311C-BCE4-3C4E-B415-D5A573843A27}"/>
    <hyperlink ref="B52" r:id="rId51" display="final: yes or no" xr:uid="{6CC2D963-4223-3C48-9DD4-EF44E6E2026F}"/>
    <hyperlink ref="B53" r:id="rId52" display="hidden: yes or no" xr:uid="{DE7B507A-6510-024A-B064-33A84A091660}"/>
    <hyperlink ref="B54" r:id="rId53" display="join: identifier" xr:uid="{B8180FC7-19DC-4149-B1F7-0CBABD019A42}"/>
    <hyperlink ref="B55" r:id="rId54" display="label: possibly-localized-string" xr:uid="{A523FFA9-5CB0-0847-93EF-3DFCD53A6A57}"/>
    <hyperlink ref="B56" r:id="rId55" display="persist_for: &quot;string&quot;" xr:uid="{A743B9D0-4214-EA48-B0AF-3756FC2534D5}"/>
    <hyperlink ref="B57" r:id="rId56" display="persist_with: datagroup-ref" xr:uid="{6DF06A05-6379-8449-8CC5-E35272C52DA1}"/>
    <hyperlink ref="B58" r:id="rId57" display="required_access_grants: [access-grant-ref]" xr:uid="{8C01E915-1813-A34D-95FE-FB295696AF91}"/>
    <hyperlink ref="B59" r:id="rId58" display="sql_always_where: sql-block ;;" xr:uid="{459B5EFB-F325-8D45-B753-8F66AA0F9F4A}"/>
    <hyperlink ref="B60" r:id="rId59" display="sql_always_having: sql-block ;;" xr:uid="{C13C0CE8-ADC7-6248-951C-D4E4ABBA669F}"/>
    <hyperlink ref="B61" r:id="rId60" display="sql_table_name: sql-block ;;" xr:uid="{4E0CAF55-5CCD-B948-89B0-A86B0B9AFF58}"/>
    <hyperlink ref="B62" r:id="rId61" display="tags: [&quot;string&quot;]" xr:uid="{4C476D9A-8774-254A-8F9B-D4BDD87C94F7}"/>
    <hyperlink ref="B63" r:id="rId62" display="view_label: possibly-localized-string" xr:uid="{A4E548F3-7BB8-1444-BECE-01AFBAF67892}"/>
    <hyperlink ref="B64" r:id="rId63" display="view_name: view-ref" xr:uid="{353F660B-C9DE-C34A-BA88-9002CFF829F0}"/>
    <hyperlink ref="B65" r:id="rId64" display="action:" xr:uid="{AC02B5F9-05EF-0E4B-973B-2092ABBF1213}"/>
    <hyperlink ref="B66" r:id="rId65" display="allow_fill: yes or no" xr:uid="{A3ECD047-7411-EE41-8F02-7BB59F4266B2}"/>
    <hyperlink ref="B67" r:id="rId66" display="alpha_sort: yes or no" xr:uid="{E5A5E836-6E0C-924C-9CBF-E1983840822D}"/>
    <hyperlink ref="B68" r:id="rId67" display="bypass_suggest_restrictions: yes or no" xr:uid="{85DCBE55-C433-2342-A553-6C7CEE6FA418}"/>
    <hyperlink ref="B69" r:id="rId68" display="can_filter: yes or no" xr:uid="{E2879013-797D-CF48-A166-4CFA487DF2CC}"/>
    <hyperlink ref="B70" r:id="rId69" display="case:" xr:uid="{4805138F-1AF0-5D48-AC1A-C516805F4006}"/>
    <hyperlink ref="B71" r:id="rId70" display="case_sensitive: yes or no" xr:uid="{FAF7BCED-F103-5444-9C40-2FAB54541861}"/>
    <hyperlink ref="B72" r:id="rId71" display="datatype: epoch or ..." xr:uid="{33FCF3D6-C0A5-D14E-8783-FB3A9FFFC753}"/>
    <hyperlink ref="B73" r:id="rId72" display="drill_fields: [field-ref]" xr:uid="{1721B436-5760-2443-9F9D-6B1CB9DD4A2F}"/>
    <hyperlink ref="B74" r:id="rId73" display="end_location_field: field-ref" xr:uid="{1C6C04B1-26B9-B548-92EB-FFF74D2488F6}"/>
    <hyperlink ref="B75" r:id="rId74" display="fanout_on: &quot;string&quot;" xr:uid="{7C5447BA-75C5-7543-86EB-9479BFDA7B27}"/>
    <hyperlink ref="B76" r:id="rId75" display="full_suggestions: yes or no" xr:uid="{D88C682A-706B-C44F-9FAD-47695F91DDCC}"/>
    <hyperlink ref="B77" r:id="rId76" display="group_label: possibly-localized-string" xr:uid="{24BB39E4-9DE2-4646-ABDD-CB4A42258879}"/>
    <hyperlink ref="B78" r:id="rId77" display="group_item_label: possibly-localized-string" xr:uid="{16D9126B-24BC-B84B-BF11-3308C192A591}"/>
    <hyperlink ref="B79" r:id="rId78" display="html: html-block ;;" xr:uid="{F96428CF-045D-2E48-BF7B-42991EC32B0A}"/>
    <hyperlink ref="B80" r:id="rId79" display="label_from_parameter: field-ref" xr:uid="{4050D16A-BB71-6141-874A-0CF0EE4FC8CB}"/>
    <hyperlink ref="B81" r:id="rId80" display="link:" xr:uid="{5B1C4B87-AB59-4D4B-B3F7-AA7C4443FB7D}"/>
    <hyperlink ref="B82" r:id="rId81" display="map_layer_name: map-layer-ref" xr:uid="{4A959305-E51C-B041-BF22-7A9D4D347525}"/>
    <hyperlink ref="B83" r:id="rId82" display="order_by_field: field-ref" xr:uid="{3043EE8B-7B3E-704F-957D-BD808B8E8ABA}"/>
    <hyperlink ref="B84" r:id="rId83" display="primary_key: yes or no" xr:uid="{83A11D9C-C846-1E4F-9B31-99EBDDE6D8D7}"/>
    <hyperlink ref="B85" r:id="rId84" display="required_fields: [field-ref]" xr:uid="{FA821A5F-1E29-034F-9BDD-D280CA78C7F2}"/>
    <hyperlink ref="B86" r:id="rId85" display="skip_drill_filter: yes or no" xr:uid="{0679DDFD-56B7-E740-B59F-B2A76B4B049B}"/>
    <hyperlink ref="B87" r:id="rId86" display="start_location_field: field-ref" xr:uid="{FE0E4B50-D064-9840-85DE-63ED94F3C347}"/>
    <hyperlink ref="B88" r:id="rId87" display="suggestions: [&quot;string&quot;]" xr:uid="{9BC7DE7D-7DB2-1D45-A3A5-61CF1957DB58}"/>
    <hyperlink ref="B89" r:id="rId88" display="suggest_persist_for: &quot;string&quot;" xr:uid="{2021A283-0A84-1241-AE1B-88142721E594}"/>
    <hyperlink ref="B90" r:id="rId89" display="style: classic or ..." xr:uid="{4CF841A9-0363-5445-8ABF-9E07A401DBF7}"/>
    <hyperlink ref="B91" r:id="rId90" display="sql: sql-block ;;" xr:uid="{F13C77CB-D6C1-1B41-89B5-C5A9D98B7925}"/>
    <hyperlink ref="B92" r:id="rId91" display="sql_end: sql-block ;;" xr:uid="{BEFC1C6B-E95A-BD40-9319-F0E4CED4EBE9}"/>
    <hyperlink ref="B93" r:id="rId92" display="sql_start: sql-block ;;" xr:uid="{03D8692F-C396-B343-AC04-CE87B1053D7A}"/>
    <hyperlink ref="B94" r:id="rId93" display="tiers: [number]" xr:uid="{47CBCB2A-F95A-BF41-BA6D-50E95F624D00}"/>
    <hyperlink ref="B95" r:id="rId94" display="sql_longitude: sql-block ;;" xr:uid="{8B40F0C7-003A-4941-9DCE-8751C2192596}"/>
    <hyperlink ref="B96" r:id="rId95" display="sql_latitude: sql-block ;;" xr:uid="{5E8546AB-CDA1-6542-9DA2-E5BEFABB40D0}"/>
    <hyperlink ref="B97" r:id="rId96" display="string_datatype: unicode or ..." xr:uid="{D12FE5BA-57C2-BF4F-8572-FF8CD569FC1F}"/>
    <hyperlink ref="B98" r:id="rId97" display="units: feet or ..." xr:uid="{A01085FE-2F5C-7949-89DF-0268C9EBD65D}"/>
    <hyperlink ref="B99" r:id="rId98" display="value_format: &quot;string&quot;" xr:uid="{762FF302-485E-4B4C-A150-671B62974990}"/>
    <hyperlink ref="B100" r:id="rId99" display="value_format_name: value-format-ref" xr:uid="{0EFE8797-2A6D-5C45-9940-7319A8CDEB62}"/>
    <hyperlink ref="B101" r:id="rId100" display="alias: [identifier]" xr:uid="{2DDC6408-210C-B248-999D-55EDD258BDA2}"/>
    <hyperlink ref="B102" r:id="rId101" display="convert_tz: yes or no" xr:uid="{FF730DFE-BE67-0548-9F80-089614CD3F56}"/>
    <hyperlink ref="B103" r:id="rId102" display="description: possibly-localized-string" xr:uid="{663D751E-2D92-8940-8CD0-E2E1EE0B8198}"/>
    <hyperlink ref="B104" r:id="rId103" display="hidden: yes or no" xr:uid="{5C30AE31-3420-FF46-A5FB-B18C06CF1854}"/>
    <hyperlink ref="B105" r:id="rId104" display="label: possibly-localized-string" xr:uid="{773CB5E4-9AC3-404C-885A-624ABD3EA3F3}"/>
    <hyperlink ref="B106" r:id="rId105" display="required_access_grants: [access-grant-ref]" xr:uid="{B1A8EC5D-8918-6D47-9625-5E770E28667F}"/>
    <hyperlink ref="B107" r:id="rId106" display="suggestable: yes or no" xr:uid="{16D84EA7-CC89-B142-9BA7-0AACDEBEC2DD}"/>
    <hyperlink ref="B108" r:id="rId107" display="tags: [&quot;string&quot;]" xr:uid="{D0D7B4BA-641E-F248-AD7F-205689C9BFA9}"/>
    <hyperlink ref="B109" r:id="rId108" display="type: date or ..." xr:uid="{01D840D7-E9DB-634F-B16E-F8473175AAB6}"/>
    <hyperlink ref="B110" r:id="rId109" display="suggest_dimension: field-ref" xr:uid="{774EB276-EC90-7943-B378-CA241D923FBC}"/>
    <hyperlink ref="B111" r:id="rId110" display="suggest_explore: explore-ref" xr:uid="{3951C596-3E31-5345-B90E-3A0782DD64E4}"/>
    <hyperlink ref="B112" r:id="rId111" display="view_label: possibly-localized-string" xr:uid="{0D85150B-C9A1-B34D-B6E3-649884B0E21D}"/>
    <hyperlink ref="B113" r:id="rId112" display="action:" xr:uid="{8289DACE-6046-5B46-8309-E69EC73CE0AA}"/>
    <hyperlink ref="B114" r:id="rId113" display="approximate: yes or no" xr:uid="{B35D3AC3-4175-7643-832C-2E5A0D160CD7}"/>
    <hyperlink ref="B115" r:id="rId114" display="approximate_threshold: number" xr:uid="{81806848-A62B-C441-A52F-CD4FA2884235}"/>
    <hyperlink ref="B116" r:id="rId115" display="allow_approximate_optimization: yes or no" xr:uid="{34BB963C-29AD-0543-A0C6-9E83D6EBB418}"/>
    <hyperlink ref="B117" r:id="rId116" display="can_filter: yes or no" xr:uid="{2314296C-7AA5-4843-8625-3704E874A035}"/>
    <hyperlink ref="B118" r:id="rId117" display="datatype: epoch or ..." xr:uid="{1E2E4EAC-9965-AB4A-866F-4A829F6B4E89}"/>
    <hyperlink ref="B119" r:id="rId118" display="direction: &quot;string&quot;&quot;row&quot; or ..." xr:uid="{47FB514F-B575-944F-A61E-27D41360B98F}"/>
    <hyperlink ref="B120" r:id="rId119" display="drill_fields: [field-ref]" xr:uid="{56414E52-4BC6-E549-BA02-23CA18AE6450}"/>
    <hyperlink ref="B121" r:id="rId120" display="fanout_on: &quot;string&quot;" xr:uid="{A0486EE5-9E1D-BA40-AF0A-A2845560A7F5}"/>
    <hyperlink ref="B122" r:id="rId121" display="filters: [identifier: &quot;string&quot;]" xr:uid="{22CED45C-98F0-D04E-847C-8A6FF9ABE704}"/>
    <hyperlink ref="B123" r:id="rId122" display="group_label: possibly-localized-string" xr:uid="{CE5CCF52-FDA9-5243-9684-D0272B27CC4B}"/>
    <hyperlink ref="B124" r:id="rId123" display="group_item_label: possibly-localized-string" xr:uid="{7406AED8-1455-B948-9F53-DA6963026815}"/>
    <hyperlink ref="B125" r:id="rId124" display="html: html-block ;;" xr:uid="{4C1DF858-EE85-5246-90C5-1AF096EC0C81}"/>
    <hyperlink ref="B126" r:id="rId125" display="label_from_parameter: field-ref" xr:uid="{32D708A7-6526-974C-B57D-A99AF79D5B3E}"/>
    <hyperlink ref="B127" r:id="rId126" display="link:" xr:uid="{91ABFDA3-A9E8-2841-937E-27ECA93193B7}"/>
    <hyperlink ref="B128" r:id="rId127" display="list_field: field-ref" xr:uid="{7F0323FC-D53D-444E-8D49-94E7424E6EEE}"/>
    <hyperlink ref="B129" r:id="rId128" display="order_by_field: field-ref" xr:uid="{A1CDB68E-F566-C04A-B2ED-D7522A9686B5}"/>
    <hyperlink ref="B130" r:id="rId129" display="percentile: number" xr:uid="{90608E0B-5F58-6240-8DF6-B676FAB2BFB3}"/>
    <hyperlink ref="B131" r:id="rId130" display="precision: number" xr:uid="{36DDA498-F614-D44C-840E-3A9F35FB78CA}"/>
    <hyperlink ref="B132" r:id="rId131" display="required_fields: [field-ref]" xr:uid="{38FC7695-8EA9-924A-B0E3-7F234BD4034C}"/>
    <hyperlink ref="B133" r:id="rId132" display="sql: sql-block ;;" xr:uid="{7C035988-4CA3-9F42-AB55-C960A16B1B18}"/>
    <hyperlink ref="B134" r:id="rId133" display="sql_distinct_key: sql-block ;;" xr:uid="{0D3E929F-326F-F544-8A64-FC17FF7880BB}"/>
    <hyperlink ref="B135" r:id="rId134" display="value_format: &quot;string&quot;" xr:uid="{57A84AA9-0E70-F64A-8803-CD6D433F9D32}"/>
    <hyperlink ref="B136" r:id="rId135" display="value_format_name: value-format-ref" xr:uid="{6519B591-89C8-6241-901B-D0D1BF07EB11}"/>
    <hyperlink ref="B137" r:id="rId136" display="alias: [identifier]" xr:uid="{2F93B881-636D-2146-A7D9-4341003B0E71}"/>
    <hyperlink ref="B138" r:id="rId137" display="convert_tz: yes or no" xr:uid="{D945D3FF-6801-544D-BB1F-B85C9F63D097}"/>
    <hyperlink ref="B139" r:id="rId138" display="description: possibly-localized-string" xr:uid="{1B7B9852-8F05-1740-96D4-40C5FC0ACF83}"/>
    <hyperlink ref="B140" r:id="rId139" display="hidden: yes or no" xr:uid="{EE60C763-676B-704B-BC32-EBD6F7BCE1DB}"/>
    <hyperlink ref="B141" r:id="rId140" display="label: possibly-localized-string" xr:uid="{1081B622-5131-8B4C-A996-FCB2A9C4E472}"/>
    <hyperlink ref="B142" r:id="rId141" display="required_access_grants: [access-grant-ref]" xr:uid="{5C5CE595-83D1-C94D-B032-EF99547434B2}"/>
    <hyperlink ref="B143" r:id="rId142" display="suggestable: yes or no" xr:uid="{7F912EA3-2016-AF4E-ADC6-4473C17867FC}"/>
    <hyperlink ref="B144" r:id="rId143" display="tags: [&quot;string&quot;]" xr:uid="{0F211A82-7FD6-E641-8C3B-102D3FE0771F}"/>
    <hyperlink ref="B145" r:id="rId144" display="type: average or ..." xr:uid="{7A4D6580-54DA-4842-93C1-AB3F5BC6ECCC}"/>
    <hyperlink ref="B146" r:id="rId145" display="suggest_dimension: field-ref" xr:uid="{CEAC4484-4B8A-D240-9812-86F1DEDBBA74}"/>
    <hyperlink ref="B147" r:id="rId146" display="suggest_explore: explore-ref" xr:uid="{2C59CFA0-F601-2447-8908-256D05D0A9C7}"/>
    <hyperlink ref="B148" r:id="rId147" display="view_label: possibly-localized-string" xr:uid="{BB7A0B65-36FE-B441-9174-640FFE38E87D}"/>
    <hyperlink ref="B149" r:id="rId148" display="allow_fill: yes or no" xr:uid="{F0B95321-4F36-F743-988F-B30FFBC80012}"/>
    <hyperlink ref="B150" r:id="rId149" display="bypass_suggest_restrictions: yes or no" xr:uid="{A72A6C18-D83A-294C-BC15-E30099DC5955}"/>
    <hyperlink ref="B151" r:id="rId150" display="can_filter: yes or no" xr:uid="{27E52A72-42B7-9149-B318-231017CF3112}"/>
    <hyperlink ref="B152" r:id="rId151" display="datatype: epoch or ..." xr:uid="{F7F8835B-20FC-B242-BCFC-B455E21A151C}"/>
    <hyperlink ref="B153" r:id="rId152" display="drill_fields: [field-ref]" xr:uid="{CE23C0B2-D1D1-DC4C-8248-0B06895E1DE8}"/>
    <hyperlink ref="B154" r:id="rId153" display="fanout_on: &quot;string&quot;" xr:uid="{64A78BE5-40A0-FA4D-A6F3-5442BAF0EBE8}"/>
    <hyperlink ref="B155" r:id="rId154" display="full_suggestions: yes or no" xr:uid="{0E7AAFA3-0A7F-5445-9358-8D1B4B88FE3F}"/>
    <hyperlink ref="B156" r:id="rId155" display="group_label: possibly-localized-string" xr:uid="{A5A535EC-6705-F14D-B606-3EFA1E5C1E7F}"/>
    <hyperlink ref="B157" r:id="rId156" display="group_item_label: possibly-localized-string" xr:uid="{87E2E753-77E0-EE49-BA97-A8E6D3A0CF94}"/>
    <hyperlink ref="B158" r:id="rId157" display="html: html-block ;;" xr:uid="{15FA9E16-2937-534C-9D3B-79983D2DBE24}"/>
    <hyperlink ref="B159" r:id="rId158" display="intervals: [day or ...]" xr:uid="{786F8CE7-78E0-2040-A2AD-50E1A34F3D40}"/>
    <hyperlink ref="B160" r:id="rId159" display="order_by_field: field-ref" xr:uid="{D779E9E9-D933-A546-9CD3-240B526F9B30}"/>
    <hyperlink ref="B161" r:id="rId160" display="skip_drill_filter: yes or no" xr:uid="{DF66B64C-A5D5-E245-B76F-112221874EF5}"/>
    <hyperlink ref="B162" r:id="rId161" display="sql: sql-block ;;" xr:uid="{8B256D5A-BE89-D240-906E-28EBDA08D55D}"/>
    <hyperlink ref="B163" r:id="rId162" display="sql_end: sql-block ;;" xr:uid="{0BAF0A5B-F985-704C-A78B-F341C55920AA}"/>
    <hyperlink ref="B164" r:id="rId163" display="sql_start: sql-block ;;" xr:uid="{58CED243-189C-EA49-BFC0-BE57F71B2A6B}"/>
    <hyperlink ref="B165" r:id="rId164" display="timeframes: [date or ...]" xr:uid="{E54D93A5-2712-EB4E-8DA3-C4462886781A}"/>
    <hyperlink ref="B166" r:id="rId165" display="alias: [identifier]" xr:uid="{204C64AD-494F-614C-817B-B5DC917B55CF}"/>
    <hyperlink ref="B167" r:id="rId166" display="convert_tz: yes or no" xr:uid="{1154457F-328A-3A45-8F39-BAC80305CF14}"/>
    <hyperlink ref="B168" r:id="rId167" display="description: possibly-localized-string" xr:uid="{D0A2E281-CD4A-5942-8CE7-332C568D6424}"/>
    <hyperlink ref="B169" r:id="rId168" display="hidden: yes or no" xr:uid="{B93EAC64-82A1-0647-A00B-9407DCE2BC4C}"/>
    <hyperlink ref="B170" r:id="rId169" display="label: possibly-localized-string" xr:uid="{32A6C744-9548-B148-AFD8-942590809B3D}"/>
    <hyperlink ref="B171" r:id="rId170" display="required_access_grants: [access-grant-ref]" xr:uid="{A348A129-A070-E94B-8778-B685851D444F}"/>
    <hyperlink ref="B172" r:id="rId171" display="suggestable: yes or no" xr:uid="{01061B46-08AF-8A44-AAD7-D86E5CBF1F28}"/>
    <hyperlink ref="B173" r:id="rId172" display="tags: [&quot;string&quot;]" xr:uid="{7F4CE163-03F6-C944-94F5-EBA31B618D1B}"/>
    <hyperlink ref="B174" r:id="rId173" display="type: duration or ..." xr:uid="{AB966E31-C152-6A41-9940-68E38BA8A839}"/>
    <hyperlink ref="B175" r:id="rId174" display="suggest_dimension: field-ref" xr:uid="{931E74CF-8EB9-904B-9404-8E08A385C7EC}"/>
    <hyperlink ref="B176" r:id="rId175" display="suggest_explore: explore-ref" xr:uid="{85CAE672-BDB9-744F-9D7B-61A21887A795}"/>
    <hyperlink ref="B177" r:id="rId176" display="view_label: possibly-localized-string" xr:uid="{22641540-1F8C-9D47-85DD-F506D439ADC1}"/>
    <hyperlink ref="B178" r:id="rId177" display="bypass_suggest_restrictions: yes or no" xr:uid="{310800D9-9DCF-1046-9872-ED90DFFCC451}"/>
    <hyperlink ref="B179" r:id="rId178" display="case_sensitive: yes or no" xr:uid="{C1FF3927-2C8D-7F43-A945-81BEFE9C8948}"/>
    <hyperlink ref="B180" r:id="rId179" display="datatype: epoch or ..." xr:uid="{940D8BE4-24DF-B44F-B5B2-597651456297}"/>
    <hyperlink ref="B181" r:id="rId180" display="default_value: &quot;string&quot;" xr:uid="{203DAF22-BAE9-D64F-AC35-ADC728D10FBD}"/>
    <hyperlink ref="B182" r:id="rId181" display="full_suggestions: yes or no" xr:uid="{45FD3F32-BA84-5549-8079-FA085A0AEDCA}"/>
    <hyperlink ref="B183" r:id="rId182" display="group_label: possibly-localized-string" xr:uid="{BC05DD83-C77A-0C43-B432-0A8E55285084}"/>
    <hyperlink ref="B184" r:id="rId183" display="group_item_label: possibly-localized-string" xr:uid="{BE50E9E9-7D8B-3442-BD66-E2685169D8CB}"/>
    <hyperlink ref="B185" r:id="rId184" display="required_fields: [field-ref]" xr:uid="{83ED7412-E554-494C-BA76-BAD4FF03F995}"/>
    <hyperlink ref="B186" r:id="rId185" display="suggestions: [&quot;string&quot;]" xr:uid="{305A30C0-6EC7-4A45-A794-B6DB3DC1E5E3}"/>
    <hyperlink ref="B187" r:id="rId186" display="suggest_persist_for: &quot;string&quot;" xr:uid="{E477FAF6-75BB-534A-B31C-933926EB5FDC}"/>
    <hyperlink ref="B188" r:id="rId187" display="sql: sql-block ;;" xr:uid="{85A8EF1E-29A8-2142-8E4F-40ABF0A46632}"/>
    <hyperlink ref="B189" r:id="rId188" display="alias: [identifier]" xr:uid="{1907BCD8-06E3-2E42-99BA-5FDA1DD87638}"/>
    <hyperlink ref="B190" r:id="rId189" display="convert_tz: yes or no" xr:uid="{F98D6073-7E94-C44F-8FD8-986583674E71}"/>
    <hyperlink ref="B191" r:id="rId190" display="description: possibly-localized-string" xr:uid="{67A09F0A-942F-E74E-B335-62DA9253FDE3}"/>
    <hyperlink ref="B192" r:id="rId191" display="hidden: yes or no" xr:uid="{22EFBDE5-F52C-374B-ABC6-8D560C82E180}"/>
    <hyperlink ref="B193" r:id="rId192" display="label: possibly-localized-string" xr:uid="{30F7E1B5-26D3-FD41-BA82-48E37E549BC7}"/>
    <hyperlink ref="B194" r:id="rId193" display="required_access_grants: [access-grant-ref]" xr:uid="{E5BCD82B-311B-354C-B013-2DF75F7EAFFC}"/>
    <hyperlink ref="B195" r:id="rId194" display="suggestable: yes or no" xr:uid="{9D2A5606-F4B6-DC4C-991F-A02A5E4938FE}"/>
    <hyperlink ref="B196" r:id="rId195" display="tags: [&quot;string&quot;]" xr:uid="{4DBBA9FE-3943-D743-A0AE-FB16CB7AD18F}"/>
    <hyperlink ref="B197" r:id="rId196" display="type: date or ..." xr:uid="{2CC813F0-698C-C446-A7FC-5E2CDE66F3E4}"/>
    <hyperlink ref="B198" r:id="rId197" display="suggest_dimension: field-ref" xr:uid="{196B9915-9328-5042-822F-E63F6DBBCB1B}"/>
    <hyperlink ref="B199" r:id="rId198" display="suggest_explore: explore-ref" xr:uid="{B03238FD-39B7-9143-B95A-B65FA0C29DAC}"/>
    <hyperlink ref="B200" r:id="rId199" display="view_label: possibly-localized-string" xr:uid="{00267DF4-75AD-B145-91AC-F80EB346BCA8}"/>
    <hyperlink ref="B201" r:id="rId200" display="allowed_value:" xr:uid="{F5A968B0-E427-B848-B944-EB0222B5F160}"/>
    <hyperlink ref="B202" r:id="rId201" display="bypass_suggest_restrictions: yes or no" xr:uid="{5D8B9317-C0DC-E640-BCFE-CC5962ACCB2E}"/>
    <hyperlink ref="B203" r:id="rId202" display="default_value: &quot;string&quot;" xr:uid="{3D3C14A8-D6F6-444E-9E24-144298E0B9DF}"/>
    <hyperlink ref="B204" r:id="rId203" display="full_suggestions: yes or no" xr:uid="{1024511C-C122-7746-B3C4-70B5D3B09602}"/>
    <hyperlink ref="B205" r:id="rId204" display="group_label: possibly-localized-string" xr:uid="{FE6B7FB2-1592-984A-8E4B-0AC050D187ED}"/>
    <hyperlink ref="B206" r:id="rId205" display="group_item_label: possibly-localized-string" xr:uid="{E750488F-9C76-2747-A529-E0CE1F793BCF}"/>
    <hyperlink ref="B207" r:id="rId206" display="required_fields: [field-ref]" xr:uid="{F5881879-2B61-F749-8F27-1FB70DBA2E4E}"/>
    <hyperlink ref="B208" r:id="rId207" display="suggestions: [&quot;string&quot;]" xr:uid="{04525C7F-9E50-4D4D-9B6A-D805F9CD280E}"/>
    <hyperlink ref="B209" r:id="rId208" display="suggest_persist_for: &quot;string&quot;" xr:uid="{1826C79F-384A-A34D-A782-9421AC234934}"/>
    <hyperlink ref="B210" r:id="rId209" display="alias: [identifier]" xr:uid="{A8EE0ED3-A9E3-7F4F-B76C-5D0642D960C2}"/>
    <hyperlink ref="B211" r:id="rId210" display="convert_tz: yes or no" xr:uid="{D5D3A1AF-FDE6-6248-9089-8398DC604650}"/>
    <hyperlink ref="B212" r:id="rId211" display="description: possibly-localized-string" xr:uid="{DCDE4EC2-D370-F349-86D6-B161A9230A0B}"/>
    <hyperlink ref="B213" r:id="rId212" display="hidden: yes or no" xr:uid="{C48D3532-BF34-4E45-B5DB-685652C57894}"/>
    <hyperlink ref="B214" r:id="rId213" display="label: possibly-localized-string" xr:uid="{22D3C2F2-87F4-754F-94FD-4785C7E880F0}"/>
    <hyperlink ref="B215" r:id="rId214" display="required_access_grants: [access-grant-ref]" xr:uid="{9E0CCB6F-9A14-7546-8BAA-DD9528D7B439}"/>
    <hyperlink ref="B216" r:id="rId215" display="suggestable: yes or no" xr:uid="{9BEB4BAE-1E59-A043-82FE-78A13672EBEB}"/>
    <hyperlink ref="B217" r:id="rId216" display="tags: [&quot;string&quot;]" xr:uid="{BAF15FCB-6169-924C-9BB0-B7A18A1155F8}"/>
    <hyperlink ref="B218" r:id="rId217" display="type: date or ..." xr:uid="{BABA5191-3BD0-094A-A2C4-CD65514894CE}"/>
    <hyperlink ref="B219" r:id="rId218" display="suggest_dimension: field-ref" xr:uid="{1E05D500-81D1-8244-A43E-BA778AFDF9AF}"/>
    <hyperlink ref="B220" r:id="rId219" display="suggest_explore: explore-ref" xr:uid="{4AE1E032-B63F-FF4E-A08C-A162E7D60E30}"/>
    <hyperlink ref="B221" r:id="rId220" display="view_label: possibly-localized-string" xr:uid="{935BB198-6C06-AE46-968E-45ECE3877AF6}"/>
    <hyperlink ref="B222" r:id="rId221" display="cluster_keys: [&quot;string&quot;]" xr:uid="{C5BA5C51-9AC2-CB41-9856-85B22487FB44}"/>
    <hyperlink ref="B223" r:id="rId222" display="create_process:" xr:uid="{3462C79B-0A7A-0243-855C-4E25A6239D4C}"/>
    <hyperlink ref="B224" r:id="rId223" display="datagroup_trigger: datagroup-ref" xr:uid="{389AD12E-6B94-E742-A85E-5706B034C219}"/>
    <hyperlink ref="B225" r:id="rId224" display="distribution: &quot;string&quot;" xr:uid="{D7F42C62-480E-E147-A672-845504FEEE49}"/>
    <hyperlink ref="B226" r:id="rId225" display="distribution_style: all or ..." xr:uid="{5D7B47F8-47D4-064C-8D92-EF659B129E62}"/>
    <hyperlink ref="B227" r:id="rId226" display="explore_source: explore-ref" xr:uid="{B1D76259-E0EA-064D-94EE-71061E3F95E5}"/>
    <hyperlink ref="B228" r:id="rId227" display="indexes: [&quot;string&quot;]" xr:uid="{7D84885A-51B5-DE45-89E3-3ACBE3991734}"/>
    <hyperlink ref="B229" r:id="rId228" display="partition_keys: [&quot;string&quot;]" xr:uid="{84F8C34E-65A3-0743-AA2E-01A45752D77B}"/>
    <hyperlink ref="B230" r:id="rId229" display="persist_for: &quot;string&quot;" xr:uid="{A8CE49B0-3231-B143-B429-3394DD17CD05}"/>
    <hyperlink ref="B231" r:id="rId230" display="sortkeys: [&quot;string&quot;]" xr:uid="{98BBD853-E638-6741-9067-8601453E18C5}"/>
    <hyperlink ref="B232" r:id="rId231" display="sql: sql-block ;;" xr:uid="{3A0B9EF4-37C1-FD49-BCDA-9BC3655B6AA0}"/>
    <hyperlink ref="B233" r:id="rId232" display="sql_create: sql-block ;;" xr:uid="{D9C11271-9A5F-D345-9022-3C64E46B9CC7}"/>
    <hyperlink ref="B234" r:id="rId233" display="sql_trigger_value: sql-block ;;" xr:uid="{2219C133-41A2-3B42-AF33-78FF99440366}"/>
    <hyperlink ref="B235" r:id="rId234" display="table_compression: GZIP or ..." xr:uid="{502E07E6-9F5D-2C4E-9658-E96F9EA56B0B}"/>
    <hyperlink ref="B236" r:id="rId235" display="table_format: PARQUET or ..." xr:uid="{95DC6627-EB1C-0943-8160-543FD2E47157}"/>
    <hyperlink ref="B237" r:id="rId236" display="publish_as_db_view: yes or no" xr:uid="{E128134A-1FD1-5D4A-BC3F-B1B4EE53819A}"/>
    <hyperlink ref="B238" r:id="rId237" display="expression_custom_filter: expression-block" xr:uid="{A3B7C762-08CC-0241-9E8E-71F84D16FD3B}"/>
    <hyperlink ref="B239" r:id="rId238" display="filters: [identifier: &quot;string&quot;]" xr:uid="{5999D787-303B-D44D-A514-70A55BD700B9}"/>
    <hyperlink ref="B240" r:id="rId239" display="limit: number" xr:uid="{F46BD1CF-6F75-6B43-A01D-1BB1A0208479}"/>
    <hyperlink ref="B241" r:id="rId240" display="column: identifier" xr:uid="{A049F2AD-F801-534C-92D5-ABD6290DD9D8}"/>
    <hyperlink ref="B242" r:id="rId241" display="derived_column: identifier" xr:uid="{E7098587-D4AC-A24A-9F90-4968F83B22A7}"/>
    <hyperlink ref="B243" r:id="rId242" display="bind_all_filters: yes or no" xr:uid="{CE37728A-DCE6-504C-A90E-0B396343F727}"/>
    <hyperlink ref="B244" r:id="rId243" display="bind_filters:" xr:uid="{503CCEF4-9D51-7544-ACD1-B577F439982E}"/>
    <hyperlink ref="B245" r:id="rId244" display="sorts: field-ref-to-sort-map" xr:uid="{7EB4967A-46F6-7A4C-AE21-163800BCA78E}"/>
    <hyperlink ref="B246" r:id="rId245" display="timezone: query_timezone or ..." xr:uid="{C6FA3D2B-4B43-584B-83EC-660E1CBF1084}"/>
    <hyperlink ref="B247" r:id="rId246" display="fields: [field-ref]" xr:uid="{9E9F8C23-4556-0741-B39A-95D99A28CD4F}"/>
    <hyperlink ref="B248" r:id="rId247" display="foreign_key: field-ref" xr:uid="{5C6FB7C3-F5A4-DC43-A8C0-6C5304E92EE4}"/>
    <hyperlink ref="B249" r:id="rId248" display="from: view-ref" xr:uid="{3E364538-1BFB-CC41-8A23-F33320D876A8}"/>
    <hyperlink ref="B250" r:id="rId249" display="outer_only: yes or no" xr:uid="{32BE1D37-6AE3-334A-9701-32EB23BA2605}"/>
    <hyperlink ref="B251" r:id="rId250" display="relationship: one_to_one or ..." xr:uid="{E8E2EAD5-0A31-1848-AF1B-31E08BD73EDE}"/>
    <hyperlink ref="B252" r:id="rId251" display="required_access_grants: [access-grant-ref]" xr:uid="{4776BA9D-3A90-5145-92A3-C1BC427E4D34}"/>
    <hyperlink ref="B253" r:id="rId252" display="required_joins: [view-ref]" xr:uid="{A8D0A5B9-8DB0-0843-82D0-9725AA0B7138}"/>
    <hyperlink ref="B254" r:id="rId253" display="sql: sql-block ;;" xr:uid="{E735666E-689E-5446-B5AB-838C367A03A3}"/>
    <hyperlink ref="B255" r:id="rId254" display="sql_foreign_key: sql-block ;;" xr:uid="{C439D5F7-6A0F-2F42-8463-38C03B14A457}"/>
    <hyperlink ref="B256" r:id="rId255" display="sql_on: sql-block ;;" xr:uid="{7DE0B36D-EA93-444A-9B94-127216EF0743}"/>
    <hyperlink ref="B257" r:id="rId256" display="sql_table_name: sql-block ;;" xr:uid="{24D580CF-9FEC-7F40-8AC5-E8CEB699A555}"/>
    <hyperlink ref="B258" r:id="rId257" display="sql_where: sql-block ;;" xr:uid="{4DBE2A9B-45BC-E44B-BD3C-9FC2CBEE2079}"/>
    <hyperlink ref="B259" r:id="rId258" display="type: left_outer or ..." xr:uid="{B2DCC049-A8AA-B143-BBE2-E8F27B5CF1FF}"/>
    <hyperlink ref="B260" r:id="rId259" display="view_label: possibly-localized-string" xr:uid="{4177ED39-E57B-5240-881B-752C5F7F51FE}"/>
    <hyperlink ref="B261" r:id="rId260" display="query:" xr:uid="{2C157B97-B365-AF4A-A1A1-F0D19BFA1F4E}"/>
    <hyperlink ref="B262" r:id="rId261" display="materialization:" xr:uid="{AD459944-711A-064A-A5E9-F313ED3EC1FD}"/>
    <hyperlink ref="B263" r:id="rId262" display="dimensions: [field-ref]" xr:uid="{308810D1-4862-454F-B5A8-8E1DF0F4C0C9}"/>
    <hyperlink ref="B264" r:id="rId263" display="measures: [field-ref]" xr:uid="{6DD592BE-FB7C-C24C-9828-4E309CF5769F}"/>
    <hyperlink ref="B265" r:id="rId264" display="description: possibly-localized-string" xr:uid="{AF6039AE-17EB-EF4C-A4DA-CCFBB8CDF020}"/>
    <hyperlink ref="B266" r:id="rId265" display="group_label: possibly-localized-string" xr:uid="{99AEB670-AD2B-D747-8E1F-95EFF9375B03}"/>
    <hyperlink ref="B267" r:id="rId266" display="filters: [identifier: &quot;string&quot;]" xr:uid="{F7AA14F7-4DAD-824C-890A-FB8ABECE4D68}"/>
    <hyperlink ref="B268" r:id="rId267" display="limit: number" xr:uid="{8B44CE37-18AF-0347-B010-6BAF2E8B289C}"/>
    <hyperlink ref="B269" r:id="rId268" display="sorts: field-ref-to-sort-map" xr:uid="{A9AB4646-7432-AA43-8259-1FF60F0BBEF4}"/>
    <hyperlink ref="B270" r:id="rId269" display="label: possibly-localized-string" xr:uid="{9CA4EF00-2C2E-7344-8CF0-0ABD3FD3BE30}"/>
    <hyperlink ref="B271" r:id="rId270" display="pivots: [field-ref]" xr:uid="{06C91C84-8628-C644-BDDB-4270DE860331}"/>
    <hyperlink ref="B272" r:id="rId271" display="timezone: query_timezone or ..." xr:uid="{066FA3CE-570B-7843-8ED3-CE6BCEEC2760}"/>
    <hyperlink ref="B273" r:id="rId272" display="persist_for: &quot;string&quot;" xr:uid="{BD0FCFC7-588A-D44A-8F6E-EA133896EC4D}"/>
    <hyperlink ref="B274" r:id="rId273" display="sql_trigger_value: sql-block ;;" xr:uid="{FE79E8E5-B252-F04E-82CE-2650842A172D}"/>
    <hyperlink ref="B275" r:id="rId274" display="datagroup_trigger: datagroup-ref" xr:uid="{46820843-A33B-E646-BF98-0F4BD161C6A7}"/>
    <hyperlink ref="B276" r:id="rId275" display="application: identifier {" xr:uid="{EB21F1EC-2D2A-6E48-86D9-C21270EE5FD7}"/>
    <hyperlink ref="B277" r:id="rId276" display="label: possibly-localized-string" xr:uid="{A547024D-7D95-1F44-913B-44C77C7F3301}"/>
    <hyperlink ref="B278" r:id="rId277" display="url: &quot;string&quot;" xr:uid="{A45FB338-BF8F-6D46-A031-CBFA586E4EE1}"/>
    <hyperlink ref="B279" r:id="rId278" display="file: &quot;string&quot;" xr:uid="{555702DA-850C-4B45-85CF-3AB20300B6EA}"/>
    <hyperlink ref="B280" r:id="rId279" display="entitlements:" xr:uid="{5173194A-3C25-CD4F-B843-467C52E83F2B}"/>
    <hyperlink ref="B281" r:id="rId280" display="local_storage: yes or no" xr:uid="{B2164A52-E2DB-414F-9225-BFCEA90FFBDC}"/>
    <hyperlink ref="B282" r:id="rId281" display="navigation: yes or no" xr:uid="{DD9CF14B-799A-CB4A-92C7-91A9A932A8FA}"/>
    <hyperlink ref="B283" r:id="rId282" display="new_window: yes or no" xr:uid="{E36BBF50-8223-5A4B-B618-63DB7FA7CC1D}"/>
    <hyperlink ref="B284" r:id="rId283" display="allow_forms: yes or no" xr:uid="{AA605B0C-BD3E-9949-861C-221746AD838A}"/>
    <hyperlink ref="B285" r:id="rId284" display="allow_same_origin: yes or no" xr:uid="{345F9030-03BF-A74F-8E53-C2B47B283D9C}"/>
    <hyperlink ref="B286" r:id="rId285" display="core_api_methods: [&quot;string&quot;]" xr:uid="{18D3CE32-9460-EF47-9AA2-DAAC40F17C19}"/>
    <hyperlink ref="B287" r:id="rId286" display="external_api_urls: [&quot;string&quot;]" xr:uid="{5BEB9AF9-F03C-3143-88E0-65A2AD238061}"/>
    <hyperlink ref="B288" r:id="rId287" display="oauth2_urls: [&quot;string&quot;]" xr:uid="{BFEC428C-F09F-404A-9170-D651382129E1}"/>
    <hyperlink ref="B289" r:id="rId288" display="global_user_attributes: [&quot;string&quot;]" xr:uid="{BF4519A4-B94B-2B45-8F02-65F5A345A06F}"/>
    <hyperlink ref="B290" r:id="rId289" display="scoped_user_attributes: [&quot;string&quot;]" xr:uid="{2F654AF6-F9E0-4146-A69B-0D939EF2628B}"/>
    <hyperlink ref="B291" r:id="rId290" display="id: &quot;string&quot;" xr:uid="{6782F177-30DA-2A48-9EA6-025CCA72FD3E}"/>
    <hyperlink ref="B292" r:id="rId291" display="label: possibly-localized-string" xr:uid="{215219E4-2DE6-1E47-AEBB-6986A3B71495}"/>
    <hyperlink ref="B293" r:id="rId292" display="url: &quot;string&quot;" xr:uid="{10B3BBE0-4238-544E-848E-221EA692FCC7}"/>
    <hyperlink ref="B294" r:id="rId293" display="sri_hash: &quot;string&quot;" xr:uid="{8CE171EA-9A31-694B-9311-1150097A9578}"/>
    <hyperlink ref="B295" r:id="rId294" display="dependencies: [&quot;string&quot;]" xr:uid="{9ED76D00-4811-E942-8160-2D2239D6A736}"/>
    <hyperlink ref="B296" r:id="rId295" display="file: &quot;string&quot;" xr:uid="{856A758E-48E8-5A4D-8088-BB528D581A10}"/>
    <hyperlink ref="B297" r:id="rId296" display="label: possibly-localized-string" xr:uid="{C5B33F53-B104-9849-AA3B-B8EFAE8FDF1C}"/>
    <hyperlink ref="B298" r:id="rId297" display="url: &quot;string&quot;" xr:uid="{E9D2CE69-6F7C-A34C-884E-F048489F25A0}"/>
    <hyperlink ref="B299" r:id="rId298" display="icon_url: &quot;string&quot;" xr:uid="{330BF565-87E6-C24B-A941-1912ADF9793D}"/>
    <hyperlink ref="B300" r:id="rId299" display="form_url: &quot;string&quot;" xr:uid="{12E4605E-0D0C-D94B-92A4-D4BB78756058}"/>
    <hyperlink ref="B301" r:id="rId300" display="param:" xr:uid="{B6C5086D-3CE2-FB4C-9966-D2448F510C87}"/>
    <hyperlink ref="B302" r:id="rId301" display="form_param:" xr:uid="{EA3F623F-0643-4944-A66F-9E55A2DBB437}"/>
    <hyperlink ref="B303" r:id="rId302" display="user_attribute_param:" xr:uid="{D10FCA2C-E5F4-CC4E-B108-B05FD4D3259F}"/>
    <hyperlink ref="B304" r:id="rId303" display="name: &quot;string&quot;" xr:uid="{8579C5EB-7994-B14A-B550-AD10AE96F074}"/>
    <hyperlink ref="B305" r:id="rId304" display="type: textarea or ..." xr:uid="{422325F3-458C-4A4D-943F-AC60DE0A247B}"/>
    <hyperlink ref="B306" r:id="rId305" display="label: possibly-localized-string" xr:uid="{0CC64620-EABF-F744-9E6B-CBB0D91F3B98}"/>
    <hyperlink ref="B307" r:id="rId306" display="option:" xr:uid="{514D3B3D-5385-D84D-A388-C05F3B2CE6F8}"/>
    <hyperlink ref="B308" r:id="rId307" display="required: yes or no" xr:uid="{CAE40B87-2D52-E641-9AF2-9717A961EECC}"/>
    <hyperlink ref="B309" r:id="rId308" display="description: possibly-localized-string" xr:uid="{6023FE3E-83A8-5547-BB57-E82B23A9DBCC}"/>
    <hyperlink ref="B310" r:id="rId309" display="default: &quot;string&quot;" xr:uid="{CB3B9CBE-CA23-2249-B0B0-53173B9F8EC4}"/>
    <hyperlink ref="B311" r:id="rId310" display="name: &quot;string&quot;" xr:uid="{C1CC4EB9-BA37-A94D-A9BF-000B22206368}"/>
    <hyperlink ref="B312" r:id="rId311" display="label: possibly-localized-string" xr:uid="{D235A54E-F3DE-C34E-9C32-9CF4184C4CC4}"/>
    <hyperlink ref="B313" r:id="rId312" display="when:" xr:uid="{67F6F50D-CDE4-094B-9CD3-FA938634059E}"/>
    <hyperlink ref="B314" r:id="rId313" display="else: &quot;string&quot;" xr:uid="{D7335C3C-9458-7A4A-8674-827EB4944E05}"/>
    <hyperlink ref="B315" r:id="rId314" display="field: field-ref" xr:uid="{A95804FA-2689-864D-ACB3-6C6ABB2C25EE}"/>
    <hyperlink ref="B316" r:id="rId315" display="sql: sql-block ;;" xr:uid="{A1D87F9C-CAB7-244E-8C35-FB8ABAD3A150}"/>
    <hyperlink ref="B317" r:id="rId316" display="from_field: field-ref" xr:uid="{B81D5BB0-C880-294D-BFC1-B02E11FB7EC2}"/>
    <hyperlink ref="B318" r:id="rId317" display="to_field: field-ref" xr:uid="{F1CA8296-7F81-9249-9348-A85E9055105F}"/>
    <hyperlink ref="B319" r:id="rId318" display="extents_json_url: &quot;string&quot;" xr:uid="{0B5913F5-7B7B-6048-BE87-9BF8A223E6C3}"/>
    <hyperlink ref="B320" r:id="rId319" display="feature_key: &quot;string&quot;" xr:uid="{9BF50FCB-0E58-8A46-82DA-5D2246542F91}"/>
    <hyperlink ref="B321" r:id="rId320" display="file: &quot;string&quot;" xr:uid="{D6EF6E6C-6824-EF47-BBAA-2EEE1AC237CB}"/>
    <hyperlink ref="B322" r:id="rId321" display="format: topojson or ..." xr:uid="{B084CF21-C107-FC4A-9868-8EC343B1B194}"/>
    <hyperlink ref="B323" r:id="rId322" display="label: &quot;string&quot;" xr:uid="{89A2D3CD-036F-0F4D-A42F-608263485BDA}"/>
    <hyperlink ref="B324" r:id="rId323" display="max_zoom_level: number" xr:uid="{DD48E7AF-5B63-B944-A6B9-F6258D4D481A}"/>
    <hyperlink ref="B325" r:id="rId324" display="min_zoom_level: number" xr:uid="{ECB3EF7A-72FB-F040-8F3C-534A527C0AA6}"/>
    <hyperlink ref="B326" r:id="rId325" display="projection: airy or ..." xr:uid="{10D88A7D-277D-7348-806C-C15388B21C6C}"/>
    <hyperlink ref="B327" r:id="rId326" display="property_key: &quot;string&quot;" xr:uid="{1DFF5025-F1CF-1D49-8DE1-AE95B7C46331}"/>
    <hyperlink ref="B328" r:id="rId327" display="property_label_key: &quot;string&quot;" xr:uid="{259D1308-E26D-EA4E-B955-85326C5EE11A}"/>
    <hyperlink ref="B329" r:id="rId328" display="url: &quot;string&quot;" xr:uid="{50B43B87-A6BD-A246-91D4-E9B968E97664}"/>
    <hyperlink ref="B330" r:id="rId329" display="explore_source: explore-ref" xr:uid="{FBE08E03-B3EA-744B-BA07-FB5A3BDC2AB8}"/>
    <hyperlink ref="B331" r:id="rId330" display="assert: identifier" xr:uid="{705C9BA7-8C85-7940-A649-F2F4666DD92F}"/>
    <hyperlink ref="B332" r:id="rId331" display="max_cache_age: &quot;string&quot;" xr:uid="{798E79B0-304A-564F-8333-9804881992BA}"/>
    <hyperlink ref="B333" r:id="rId332" display="sql_trigger: sql-block ;;" xr:uid="{106EBED0-DD39-884A-8980-040F25807405}"/>
    <hyperlink ref="B334" r:id="rId333" display="label: possibly-localized-string" xr:uid="{76F8D7B5-E93B-FE4A-ABEF-1A722B5C2308}"/>
    <hyperlink ref="B335" r:id="rId334" display="description: possibly-localized-string" xr:uid="{CE73C9A4-AFCE-CD48-A1CD-17648EAC8039}"/>
    <hyperlink ref="B336" r:id="rId335" display="value_format: &quot;string&quot;" xr:uid="{CEDFCE29-C545-6649-9671-56CE6C8F6FD4}"/>
    <hyperlink ref="B337" r:id="rId336" display="strict_value_format: yes or no" xr:uid="{D9822F68-3B29-CD42-AE9B-4962FB900D32}"/>
    <hyperlink ref="B338" r:id="rId337" display="fields: [field-ref]" xr:uid="{A53DFEFD-EBFD-E14F-9ABE-AF4A5634A592}"/>
    <hyperlink ref="H65" r:id="rId338" xr:uid="{2E0829AC-4159-5442-9BA5-EE799DB668C5}"/>
    <hyperlink ref="H341" r:id="rId339" xr:uid="{CDC8BC8A-69B7-084A-AE29-F26140F88459}"/>
    <hyperlink ref="H342" r:id="rId340" xr:uid="{6A964312-DEFF-FE43-9BCC-0336A4113ED3}"/>
    <hyperlink ref="H339" r:id="rId341" xr:uid="{586F01FE-E5B1-A348-AD02-64C13CDCEE47}"/>
    <hyperlink ref="H340" r:id="rId342" xr:uid="{BEC4A712-71ED-9D49-9496-EA27599BE2FC}"/>
    <hyperlink ref="H343" r:id="rId343" xr:uid="{EC92FAC4-C06F-4742-AB0E-E122CB87FC1A}"/>
    <hyperlink ref="C347" r:id="rId344" display="https://looker.com/docs/r/lookml/types/remote_dependency/override_constant?version=7.14&amp;lookml=new" xr:uid="{E3314E4A-F419-D14C-ACE1-6857A50A1E20}"/>
    <hyperlink ref="H347" r:id="rId345" location="passing_constants_between_projects" xr:uid="{D7FA8F78-3686-B840-8987-750640AA1854}"/>
    <hyperlink ref="H349" r:id="rId346" xr:uid="{B0ACFE33-C59F-7943-9103-ADF490FA3F77}"/>
    <hyperlink ref="H350" r:id="rId347" xr:uid="{442E56C3-6178-0B48-98C0-1784A22E2709}"/>
    <hyperlink ref="H152" r:id="rId348" xr:uid="{2906308B-6DE7-9749-842C-DA7B592B547F}"/>
    <hyperlink ref="H159" r:id="rId349" xr:uid="{896F068C-1C31-6B45-A582-8BFED6003E38}"/>
    <hyperlink ref="H330" r:id="rId350" xr:uid="{E99AC960-5239-C749-93A3-E689192D4FDD}"/>
    <hyperlink ref="H319" r:id="rId351" xr:uid="{4FF95704-11DF-844F-9F97-D8BC4DBA821A}"/>
    <hyperlink ref="H352" r:id="rId352" location="use_form_submit" xr:uid="{D2A3B213-D434-0B47-8B21-8370E6C955C5}"/>
    <hyperlink ref="H353" r:id="rId353" location="use_embeds" xr:uid="{0DD9D543-9744-054C-B620-6C3A07675031}"/>
    <hyperlink ref="H245" r:id="rId354" xr:uid="{EA2FFAB2-B9C3-A44D-8976-B45F61B53B73}"/>
    <hyperlink ref="H301" r:id="rId355" xr:uid="{394FECCB-F195-AE4B-A784-B0DF5AF0EAA2}"/>
    <hyperlink ref="H354" r:id="rId356" xr:uid="{A23BF7C5-C1BB-9248-97C6-A46A5C2509BE}"/>
    <hyperlink ref="H355" r:id="rId357" xr:uid="{2883E4E1-8AB9-BC47-9489-99A4E0A80797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Russell Garner</cp:lastModifiedBy>
  <dcterms:created xsi:type="dcterms:W3CDTF">2020-10-19T04:04:46Z</dcterms:created>
  <dcterms:modified xsi:type="dcterms:W3CDTF">2020-11-17T03:18:42Z</dcterms:modified>
</cp:coreProperties>
</file>