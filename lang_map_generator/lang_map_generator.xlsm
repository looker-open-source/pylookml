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906A150B-E4D0-074D-86B1-4741B3D91221}" xr6:coauthVersionLast="45" xr6:coauthVersionMax="45" xr10:uidLastSave="{00000000-0000-0000-0000-000000000000}"/>
  <bookViews>
    <workbookView xWindow="0" yWindow="460" windowWidth="33600" windowHeight="1948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map!$A$1:$J$409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69" i="7" l="1"/>
  <c r="K368" i="7"/>
  <c r="K367" i="7"/>
  <c r="K360" i="7"/>
  <c r="K361" i="7"/>
  <c r="K362" i="7"/>
  <c r="K363" i="7"/>
  <c r="K364" i="7"/>
  <c r="K365" i="7"/>
  <c r="K366" i="7"/>
  <c r="K358" i="7"/>
  <c r="K359" i="7"/>
  <c r="Q358" i="7" l="1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L369" i="7" s="1"/>
  <c r="S369" i="7"/>
  <c r="Q370" i="7"/>
  <c r="R370" i="7"/>
  <c r="S370" i="7"/>
  <c r="Q371" i="7"/>
  <c r="R371" i="7"/>
  <c r="S371" i="7"/>
  <c r="Q372" i="7"/>
  <c r="R372" i="7"/>
  <c r="S372" i="7"/>
  <c r="Q373" i="7"/>
  <c r="R373" i="7"/>
  <c r="S373" i="7"/>
  <c r="Q374" i="7"/>
  <c r="R374" i="7"/>
  <c r="S374" i="7"/>
  <c r="Q375" i="7"/>
  <c r="R375" i="7"/>
  <c r="S375" i="7"/>
  <c r="Q376" i="7"/>
  <c r="R376" i="7"/>
  <c r="S376" i="7"/>
  <c r="Q377" i="7"/>
  <c r="R377" i="7"/>
  <c r="S377" i="7"/>
  <c r="Q378" i="7"/>
  <c r="R378" i="7"/>
  <c r="S378" i="7"/>
  <c r="Q379" i="7"/>
  <c r="R379" i="7"/>
  <c r="S379" i="7"/>
  <c r="Q380" i="7"/>
  <c r="R380" i="7"/>
  <c r="S380" i="7"/>
  <c r="Q381" i="7"/>
  <c r="R381" i="7"/>
  <c r="S381" i="7"/>
  <c r="Q382" i="7"/>
  <c r="R382" i="7"/>
  <c r="S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L368" i="7" s="1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S356" i="7"/>
  <c r="S357" i="7"/>
  <c r="R354" i="7"/>
  <c r="R355" i="7"/>
  <c r="R356" i="7"/>
  <c r="R357" i="7"/>
  <c r="K356" i="7"/>
  <c r="L356" i="7" s="1"/>
  <c r="K357" i="7"/>
  <c r="L357" i="7" s="1"/>
  <c r="Q357" i="7"/>
  <c r="Q356" i="7"/>
  <c r="P357" i="7"/>
  <c r="P356" i="7"/>
  <c r="Q355" i="7"/>
  <c r="Q354" i="7"/>
  <c r="P355" i="7"/>
  <c r="P354" i="7"/>
  <c r="O355" i="7"/>
  <c r="O354" i="7"/>
  <c r="K354" i="7"/>
  <c r="K355" i="7"/>
  <c r="L355" i="7" s="1"/>
  <c r="S355" i="7"/>
  <c r="S354" i="7"/>
  <c r="L367" i="7" l="1"/>
  <c r="L366" i="7"/>
  <c r="L364" i="7"/>
  <c r="L365" i="7"/>
  <c r="L363" i="7"/>
  <c r="L362" i="7"/>
  <c r="L361" i="7"/>
  <c r="L354" i="7"/>
  <c r="M401" i="7"/>
  <c r="M389" i="7"/>
  <c r="M402" i="7"/>
  <c r="M390" i="7"/>
  <c r="M361" i="7"/>
  <c r="M373" i="7"/>
  <c r="M396" i="7"/>
  <c r="M384" i="7"/>
  <c r="M360" i="7"/>
  <c r="L360" i="7" s="1"/>
  <c r="M409" i="7"/>
  <c r="M383" i="7"/>
  <c r="M397" i="7"/>
  <c r="M408" i="7"/>
  <c r="M395" i="7"/>
  <c r="M385" i="7"/>
  <c r="M407" i="7"/>
  <c r="M359" i="7"/>
  <c r="L359" i="7" s="1"/>
  <c r="M391" i="7"/>
  <c r="M379" i="7"/>
  <c r="M367" i="7"/>
  <c r="M403" i="7"/>
  <c r="M406" i="7"/>
  <c r="M394" i="7"/>
  <c r="M382" i="7"/>
  <c r="M370" i="7"/>
  <c r="M358" i="7"/>
  <c r="L358" i="7" s="1"/>
  <c r="M405" i="7"/>
  <c r="M393" i="7"/>
  <c r="M381" i="7"/>
  <c r="M369" i="7"/>
  <c r="M357" i="7"/>
  <c r="M404" i="7"/>
  <c r="M380" i="7"/>
  <c r="M356" i="7"/>
  <c r="M392" i="7"/>
  <c r="M368" i="7"/>
  <c r="M355" i="7"/>
  <c r="M372" i="7"/>
  <c r="M378" i="7"/>
  <c r="M366" i="7"/>
  <c r="M354" i="7"/>
  <c r="M377" i="7"/>
  <c r="M365" i="7"/>
  <c r="M400" i="7"/>
  <c r="M388" i="7"/>
  <c r="M376" i="7"/>
  <c r="M364" i="7"/>
  <c r="M399" i="7"/>
  <c r="M387" i="7"/>
  <c r="M375" i="7"/>
  <c r="M363" i="7"/>
  <c r="M371" i="7"/>
  <c r="M398" i="7"/>
  <c r="M386" i="7"/>
  <c r="M374" i="7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<sst xmlns="http://schemas.openxmlformats.org/spreadsheetml/2006/main" count="2103" uniqueCount="628">
  <si>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</si>
  <si>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</si>
  <si>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</si>
  <si>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</si>
  <si>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</si>
  <si>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</si>
  <si>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</si>
  <si>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</si>
  <si>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</si>
  <si>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</si>
  <si>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</si>
  <si>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</si>
  <si>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</si>
  <si>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</si>
  <si>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</si>
  <si>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</si>
  <si>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</si>
  <si>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</si>
  <si>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</si>
  <si>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</si>
  <si>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</si>
  <si>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</si>
  <si>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</si>
  <si>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</si>
  <si>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</si>
  <si>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</si>
  <si>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</si>
  <si>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</si>
  <si>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</si>
  <si>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</si>
  <si>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</si>
  <si>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</si>
  <si>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</si>
  <si>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</si>
  <si>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</si>
  <si>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</si>
  <si>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</si>
  <si>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</si>
  <si>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</si>
  <si>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</si>
  <si>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</si>
  <si>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</si>
  <si>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</si>
  <si>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</si>
  <si>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</si>
  <si>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</si>
  <si>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</si>
  <si>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</si>
  <si>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</si>
  <si>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</si>
  <si>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</si>
  <si>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</si>
  <si>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</si>
  <si>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</si>
  <si>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</si>
  <si>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</si>
  <si>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</si>
  <si>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</si>
  <si>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</si>
  <si>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</si>
  <si>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</si>
  <si>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</si>
  <si>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</si>
  <si>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</si>
  <si>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</si>
  <si>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</si>
  <si>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</si>
  <si>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</si>
  <si>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</si>
  <si>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</si>
  <si>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</si>
  <si>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</si>
  <si>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</si>
  <si>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</si>
  <si>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</si>
  <si>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</si>
  <si>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</si>
  <si>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</si>
  <si>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</si>
  <si>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</si>
  <si>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</si>
  <si>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</si>
  <si>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</si>
  <si>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</si>
  <si>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</si>
  <si>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</si>
  <si>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</si>
  <si>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</si>
  <si>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</si>
  <si>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</si>
  <si>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</si>
  <si>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</si>
  <si>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</si>
  <si>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</si>
  <si>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</si>
  <si>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</si>
  <si>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</si>
  <si>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</si>
  <si>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</si>
  <si>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</si>
  <si>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</si>
  <si>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</si>
  <si>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</si>
  <si>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</si>
  <si>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</si>
  <si>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</si>
  <si>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</si>
  <si>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</si>
  <si>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</si>
  <si>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</si>
  <si>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</si>
  <si>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</si>
  <si>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</si>
  <si>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</si>
  <si>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</si>
  <si>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</si>
  <si>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</si>
  <si>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</si>
  <si>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</si>
  <si>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</si>
  <si>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</si>
  <si>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</si>
  <si>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</si>
  <si>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</si>
  <si>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</si>
  <si>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</si>
  <si>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</si>
  <si>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</si>
  <si>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</si>
  <si>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</si>
  <si>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</si>
  <si>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</si>
  <si>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</si>
  <si>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</si>
  <si>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</si>
  <si>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</si>
  <si>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</si>
  <si>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</si>
  <si>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</si>
  <si>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</si>
  <si>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</si>
  <si>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</si>
  <si>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</si>
  <si>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</si>
  <si>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</si>
  <si>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</si>
  <si>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</si>
  <si>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</si>
  <si>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</si>
  <si>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</si>
  <si>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</si>
  <si>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</si>
  <si>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</si>
  <si>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</si>
  <si>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</si>
  <si>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</si>
  <si>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</si>
  <si>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</si>
  <si>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</si>
  <si>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</si>
  <si>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</si>
  <si>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</si>
  <si>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</si>
  <si>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</si>
  <si>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</si>
  <si>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</si>
  <si>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</si>
  <si>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</si>
  <si>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</si>
  <si>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</si>
  <si>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</si>
  <si>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</si>
  <si>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</si>
  <si>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</si>
  <si>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</si>
  <si>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</si>
  <si>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</si>
  <si>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</si>
  <si>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</si>
  <si>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</si>
  <si>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</si>
  <si>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</si>
  <si>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</si>
  <si>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</si>
  <si>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</si>
  <si>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</si>
  <si>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</si>
  <si>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</si>
  <si>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</si>
  <si>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</si>
  <si>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</si>
  <si>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</si>
  <si>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</si>
  <si>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</si>
  <si>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</si>
  <si>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</si>
  <si>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</si>
  <si>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</si>
  <si>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</si>
  <si>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</si>
  <si>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</si>
  <si>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</si>
  <si>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</si>
  <si>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</si>
  <si>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</si>
  <si>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</si>
  <si>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</si>
  <si>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</si>
  <si>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</si>
  <si>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</si>
  <si>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</si>
  <si>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</si>
  <si>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</si>
  <si>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</si>
  <si>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</si>
  <si>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</si>
  <si>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</si>
  <si>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</si>
  <si>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</si>
  <si>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</si>
  <si>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</si>
  <si>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</si>
  <si>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</si>
  <si>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</si>
  <si>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</si>
  <si>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</si>
  <si>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</si>
  <si>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</si>
  <si>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</si>
  <si>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</si>
  <si>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</si>
  <si>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</si>
  <si>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</si>
  <si>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</si>
  <si>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</si>
  <si>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</si>
  <si>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</si>
  <si>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</si>
  <si>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</si>
  <si>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</si>
  <si>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</si>
  <si>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</si>
  <si>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</si>
  <si>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</si>
  <si>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</si>
  <si>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</si>
  <si>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</si>
  <si>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</si>
  <si>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</si>
  <si>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</si>
  <si>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</si>
  <si>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</si>
  <si>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</si>
  <si>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</si>
  <si>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</si>
  <si>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</si>
  <si>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</si>
  <si>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</si>
  <si>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</si>
  <si>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</si>
  <si>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</si>
  <si>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</si>
  <si>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</si>
  <si>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</si>
  <si>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</si>
  <si>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</si>
  <si>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</si>
  <si>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</si>
  <si>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</si>
  <si>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</si>
  <si>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</si>
  <si>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</si>
  <si>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</si>
  <si>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</si>
  <si>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</si>
  <si>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</si>
  <si>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</si>
  <si>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</si>
  <si>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</si>
  <si>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</si>
  <si>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</si>
  <si>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</si>
  <si>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</si>
  <si>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</si>
  <si>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</si>
  <si>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</si>
  <si>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</si>
  <si>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</si>
  <si>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</si>
  <si>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</si>
  <si>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</si>
  <si>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</si>
  <si>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</si>
  <si>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</si>
  <si>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</si>
  <si>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</si>
  <si>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</si>
  <si>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</si>
  <si>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</si>
  <si>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</si>
  <si>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</si>
  <si>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</si>
  <si>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</si>
  <si>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</si>
  <si>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</si>
  <si>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</si>
  <si>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</si>
  <si>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</si>
  <si>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</si>
  <si>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</si>
  <si>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</si>
  <si>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</si>
  <si>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</si>
  <si>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</si>
  <si>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</si>
  <si>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</si>
  <si>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</si>
  <si>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</si>
  <si>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</si>
  <si>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</si>
  <si>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</si>
  <si>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</si>
  <si>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</si>
  <si>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</si>
  <si>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</si>
  <si>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</si>
  <si>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</si>
  <si>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</si>
  <si>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</si>
  <si>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</si>
  <si>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</si>
  <si>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</si>
  <si>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</si>
  <si>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</si>
  <si>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</si>
  <si>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</si>
  <si>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</si>
  <si>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</si>
  <si>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</si>
  <si>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</si>
  <si>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</si>
  <si>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</si>
  <si>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</si>
  <si>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</si>
  <si>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</si>
  <si>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</si>
  <si>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</si>
  <si>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</si>
  <si>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</si>
  <si>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</si>
  <si>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</si>
  <si>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</si>
  <si>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</si>
  <si>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</si>
  <si>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</si>
  <si>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</si>
  <si>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</si>
  <si>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</si>
  <si>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</si>
  <si>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</si>
  <si>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</si>
  <si>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</si>
  <si>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</si>
  <si>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</si>
  <si>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</si>
  <si>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</si>
  <si>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</si>
  <si>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</si>
  <si>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</si>
  <si>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</si>
  <si>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</si>
  <si>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</si>
  <si>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</si>
  <si>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</si>
  <si>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</si>
  <si>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</si>
  <si>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</si>
  <si>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</si>
  <si>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</si>
  <si>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</si>
  <si>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</si>
  <si>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</si>
  <si>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</si>
  <si>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</si>
  <si>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</si>
  <si>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</si>
  <si>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</si>
  <si>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</si>
  <si>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</si>
  <si>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</si>
  <si>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</si>
  <si>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</si>
  <si>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</si>
  <si>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</si>
  <si>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</si>
  <si>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</si>
  <si>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</si>
  <si>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</si>
  <si>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</si>
  <si>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</si>
  <si>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</si>
  <si>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</si>
  <si>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</si>
  <si>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</si>
  <si>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</si>
  <si>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</si>
  <si>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</si>
  <si>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</si>
  <si>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</si>
  <si>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</si>
  <si>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</si>
  <si>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</si>
  <si>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</si>
  <si>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</si>
  <si>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</si>
  <si>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</si>
  <si>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</si>
  <si>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</si>
  <si>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</si>
  <si>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</si>
  <si>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</si>
  <si>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</si>
  <si>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</si>
  <si>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</si>
  <si>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</si>
  <si>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</si>
  <si>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</si>
  <si>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</si>
  <si>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</si>
  <si>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</si>
  <si>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</si>
  <si>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</si>
  <si>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</si>
  <si>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</si>
  <si>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</si>
  <si>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</si>
  <si>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</si>
  <si>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</si>
  <si>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</si>
  <si>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</si>
  <si>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</si>
  <si>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</si>
  <si>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</si>
  <si>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</si>
  <si>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</si>
  <si>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</si>
  <si>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</si>
  <si>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</si>
  <si>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</si>
  <si>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</si>
  <si>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</si>
  <si>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</si>
  <si>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</si>
  <si>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</si>
  <si>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</si>
  <si>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</si>
  <si>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</si>
  <si>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</si>
  <si>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</si>
  <si>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</si>
  <si>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</si>
  <si>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</si>
  <si>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</si>
  <si>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</si>
  <si>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</si>
  <si>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</si>
  <si>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</si>
  <si>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</si>
  <si>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</si>
  <si>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</si>
  <si>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</si>
  <si>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</si>
  <si>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</si>
  <si>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</si>
  <si>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</si>
  <si>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</si>
  <si>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</si>
  <si>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</si>
  <si>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</si>
  <si>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</si>
  <si>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</si>
  <si>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</si>
  <si>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</si>
  <si>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</si>
  <si>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</si>
  <si>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</si>
  <si>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</si>
  <si>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</si>
  <si>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</si>
  <si>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</si>
  <si>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</si>
  <si>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</si>
  <si>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</si>
  <si>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</si>
  <si>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</si>
  <si>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</si>
  <si>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</si>
  <si>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</si>
  <si>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</si>
  <si>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</si>
  <si>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</si>
  <si>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</si>
  <si>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</si>
  <si>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</si>
  <si>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</si>
  <si>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</si>
  <si>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</si>
  <si>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</si>
  <si>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</si>
  <si>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</si>
  <si>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</si>
  <si>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</si>
  <si>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</si>
  <si>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</si>
  <si>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</si>
  <si>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</si>
  <si>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</si>
  <si>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</si>
  <si>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</si>
  <si>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</si>
  <si>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</si>
  <si>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</si>
  <si>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</si>
  <si>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</si>
  <si>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</si>
  <si>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</si>
  <si>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</si>
  <si>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</si>
  <si>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</si>
  <si>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</si>
  <si>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</si>
  <si>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</si>
  <si>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</si>
  <si>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</si>
  <si>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</si>
  <si>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</si>
  <si>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</si>
  <si>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</si>
  <si>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</si>
  <si>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</si>
  <si>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</si>
  <si>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</si>
  <si>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</si>
  <si>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</si>
  <si>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</si>
  <si>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</si>
  <si>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</si>
  <si>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</si>
  <si>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</si>
  <si>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</si>
  <si>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</si>
  <si>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</si>
  <si>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</si>
  <si>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</si>
  <si>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</si>
  <si>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</si>
  <si>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</si>
  <si>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</si>
  <si>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</si>
  <si>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</si>
  <si>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</si>
  <si>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</si>
  <si>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</si>
  <si>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</si>
  <si>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</si>
  <si>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</si>
  <si>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</si>
  <si>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</si>
  <si>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</si>
  <si>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</si>
  <si>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</si>
  <si>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count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</si>
  <si>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</si>
  <si>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</si>
  <si>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</si>
  <si>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</si>
  <si>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</si>
  <si>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</si>
  <si>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</si>
  <si>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</si>
  <si>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</si>
  <si>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</si>
  <si>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</si>
  <si>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</si>
  <si>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</si>
  <si>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</si>
  <si>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</si>
  <si>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</si>
  <si>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</si>
  <si>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</si>
  <si>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</si>
  <si>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</si>
  <si>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</si>
  <si>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</si>
  <si>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</si>
  <si>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</si>
  <si>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</si>
  <si>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</si>
  <si>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</si>
  <si>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</si>
  <si>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</si>
  <si>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</si>
  <si>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</si>
  <si>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</si>
  <si>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</si>
  <si>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</si>
  <si>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</si>
  <si>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</si>
  <si>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</si>
  <si>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</si>
  <si>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</si>
  <si>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</si>
  <si>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</si>
  <si>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</si>
  <si>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</si>
  <si>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</si>
  <si>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</si>
  <si>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</si>
  <si>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</si>
  <si>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</si>
  <si>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</si>
  <si>
    <t>project</t>
  </si>
  <si>
    <t>export</t>
  </si>
  <si>
    <t>none</t>
  </si>
  <si>
    <t>https://docs.looker.com/reference/manifest-params/constant?version=7.14&amp;lookml=new#using_export_in_imported_projects</t>
  </si>
  <si>
    <t>["none", "override_required", "override_optional"]</t>
  </si>
  <si>
    <t>https://docs.looker.com/reference/manifest-params/visualization?version=7.18&amp;lookml=new</t>
  </si>
  <si>
    <t>https://docs.looker.com/reference/field-params/parameter?version=7.14&amp;lookml=new#specifying_allowed_values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</si>
</sst>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Courier New"/>
      <family val="1"/>
    </font>
    <font>
      <u/>
      <sz val="12"/>
      <color rgb="FF00418C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1" fillId="0" borderId="0" xfId="0" applyFont="1" applyAlignment="1"/>
    <xf numFmtId="0" fontId="10" fillId="0" borderId="0" xfId="0" applyFont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359" Type="http://schemas.openxmlformats.org/officeDocument/2006/relationships/hyperlink" Target="https://looker.com/docs/r/lookml/types/manifest/local_dependency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361" Type="http://schemas.openxmlformats.org/officeDocument/2006/relationships/hyperlink" Target="https://docs.looker.com/reference/manifest-params/visualization?version=7.18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362" Type="http://schemas.openxmlformats.org/officeDocument/2006/relationships/hyperlink" Target="https://docs.looker.com/reference/manifest-params/constant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363" Type="http://schemas.openxmlformats.org/officeDocument/2006/relationships/hyperlink" Target="https://looker.com/docs/r/lookml/types/parameter/allowed_value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364" Type="http://schemas.openxmlformats.org/officeDocument/2006/relationships/hyperlink" Target="https://docs.looker.com/reference/field-params/parameter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365" Type="http://schemas.openxmlformats.org/officeDocument/2006/relationships/hyperlink" Target="https://docs.looker.com/reference/field-params/parameter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358" Type="http://schemas.openxmlformats.org/officeDocument/2006/relationships/hyperlink" Target="https://looker.com/docs/r/lookml/types/manifest/remote_dependency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360" Type="http://schemas.openxmlformats.org/officeDocument/2006/relationships/hyperlink" Target="https://docs.looker.com/reference/manifest-params/constant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 filterMode="1">
    <outlinePr summaryBelow="0" summaryRight="0"/>
  </sheetPr>
  <dimension ref="A1:T409"/>
  <sheetViews>
    <sheetView tabSelected="1" zoomScaleNormal="130" workbookViewId="0">
      <pane ySplit="1" topLeftCell="A2" activePane="bottomLeft" state="frozen"/>
      <selection pane="bottomLeft" activeCell="E301" sqref="E301"/>
    </sheetView>
  </sheetViews>
  <sheetFormatPr baseColWidth="10" defaultColWidth="14.5" defaultRowHeight="15" customHeight="1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77.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>
      <c r="A1" s="2" t="s">
        <v>122</v>
      </c>
      <c r="B1" s="2" t="s">
        <v>116</v>
      </c>
      <c r="C1" s="2" t="s">
        <v>117</v>
      </c>
      <c r="D1" s="2" t="s">
        <v>613</v>
      </c>
      <c r="E1" s="2" t="s">
        <v>534</v>
      </c>
      <c r="F1" s="2" t="s">
        <v>609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605</v>
      </c>
      <c r="L1" s="2" t="s">
        <v>606</v>
      </c>
    </row>
    <row r="2" spans="1:20" ht="15" hidden="1" customHeight="1">
      <c r="A2" s="7">
        <v>1</v>
      </c>
      <c r="B2" s="6" t="s">
        <v>473</v>
      </c>
      <c r="C2" s="6" t="s">
        <v>111</v>
      </c>
      <c r="D2" s="4" t="s">
        <v>95</v>
      </c>
      <c r="E2" s="4" t="s">
        <v>592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hidden="1" customHeight="1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604</v>
      </c>
      <c r="H3" s="4" t="s">
        <v>138</v>
      </c>
      <c r="I3" s="4" t="b">
        <v>0</v>
      </c>
      <c r="K3" s="4" t="b">
        <f>IF(COUNTIF($B$2:$B3,B3)&gt;1,TRUE,FALSE)</f>
        <v>0</v>
      </c>
      <c r="L3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hidden="1" customHeight="1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591</v>
      </c>
      <c r="H4" s="4" t="s">
        <v>139</v>
      </c>
      <c r="I4" s="4" t="b">
        <v>0</v>
      </c>
      <c r="K4" s="4" t="b">
        <f>IF(COUNTIF($B$2:$B4,B4)&gt;1,TRUE,FALSE)</f>
        <v>0</v>
      </c>
      <c r="L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hidden="1" customHeight="1">
      <c r="A5" s="7">
        <v>4</v>
      </c>
      <c r="B5" s="6" t="s">
        <v>134</v>
      </c>
      <c r="C5" s="6" t="s">
        <v>111</v>
      </c>
      <c r="D5" s="4" t="s">
        <v>95</v>
      </c>
      <c r="E5" s="4" t="s">
        <v>592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hidden="1" customHeight="1">
      <c r="A6" s="7">
        <v>5</v>
      </c>
      <c r="B6" s="6" t="s">
        <v>89</v>
      </c>
      <c r="C6" s="6" t="s">
        <v>111</v>
      </c>
      <c r="D6" s="4" t="s">
        <v>95</v>
      </c>
      <c r="E6" s="4" t="s">
        <v>592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hidden="1" customHeight="1">
      <c r="A7" s="7">
        <v>6</v>
      </c>
      <c r="B7" s="6" t="s">
        <v>475</v>
      </c>
      <c r="C7" s="6" t="s">
        <v>111</v>
      </c>
      <c r="D7" s="4" t="s">
        <v>62</v>
      </c>
      <c r="E7" s="4" t="s">
        <v>598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hidden="1" customHeight="1">
      <c r="A8" s="7">
        <v>7</v>
      </c>
      <c r="B8" s="6" t="s">
        <v>476</v>
      </c>
      <c r="C8" s="6" t="s">
        <v>111</v>
      </c>
      <c r="D8" s="4" t="s">
        <v>0</v>
      </c>
      <c r="E8" s="4" t="s">
        <v>0</v>
      </c>
      <c r="F8" s="4">
        <v>0</v>
      </c>
      <c r="G8" s="4" t="s">
        <v>591</v>
      </c>
      <c r="H8" s="4" t="s">
        <v>143</v>
      </c>
      <c r="I8" s="4" t="b">
        <v>0</v>
      </c>
      <c r="K8" s="4" t="b">
        <f>IF(COUNTIF($B$2:$B8,B8)&gt;1,TRUE,FALSE)</f>
        <v>0</v>
      </c>
      <c r="L8" t="str">
        <f t="shared" si="0"/>
        <v>p.update({"include":{"model":{"type":"string","subtype":"string","indent":0,"default_value":"","docs_url":"https://looker.com/docs/r/lookml/types/model/include?version=7.14&amp;lookml=new","has_allowed_values":False,"allowed_values":""}}})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{"include":{"model":{"type":"string","subtype":"string","indent":0,"default_value":"","docs_url":"https://looker.com/docs/r/lookml/types/model/include?version=7.14&amp;lookml=new","has_allowed_values":False,"allowed_values":""}}}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"type":"string",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hidden="1" customHeight="1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591</v>
      </c>
      <c r="H9" s="4" t="s">
        <v>144</v>
      </c>
      <c r="I9" s="4" t="b">
        <v>0</v>
      </c>
      <c r="K9" s="4" t="b">
        <f>IF(COUNTIF($B$2:$B9,B9)&gt;1,TRUE,FALSE)</f>
        <v>0</v>
      </c>
      <c r="L9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hidden="1" customHeight="1">
      <c r="A10" s="7">
        <v>9</v>
      </c>
      <c r="B10" s="6" t="s">
        <v>132</v>
      </c>
      <c r="C10" s="6" t="s">
        <v>111</v>
      </c>
      <c r="D10" s="4" t="s">
        <v>95</v>
      </c>
      <c r="E10" s="4" t="s">
        <v>592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hidden="1" customHeight="1">
      <c r="A11" s="7">
        <v>10</v>
      </c>
      <c r="B11" s="6" t="s">
        <v>135</v>
      </c>
      <c r="C11" s="6" t="s">
        <v>111</v>
      </c>
      <c r="D11" s="4" t="s">
        <v>95</v>
      </c>
      <c r="E11" s="4" t="s">
        <v>592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hidden="1" customHeight="1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591</v>
      </c>
      <c r="H12" s="4" t="s">
        <v>147</v>
      </c>
      <c r="I12" s="4" t="b">
        <v>0</v>
      </c>
      <c r="K12" s="4" t="b">
        <f>IF(COUNTIF($B$2:$B12,B12)&gt;1,TRUE,FALSE)</f>
        <v>0</v>
      </c>
      <c r="L12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hidden="1" customHeight="1">
      <c r="A13" s="7">
        <v>12</v>
      </c>
      <c r="B13" s="6" t="s">
        <v>97</v>
      </c>
      <c r="C13" s="6" t="s">
        <v>111</v>
      </c>
      <c r="D13" s="4" t="s">
        <v>68</v>
      </c>
      <c r="E13" s="4" t="s">
        <v>598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hidden="1" customHeight="1">
      <c r="A14" s="7">
        <v>13</v>
      </c>
      <c r="B14" s="6" t="s">
        <v>133</v>
      </c>
      <c r="C14" s="6" t="s">
        <v>111</v>
      </c>
      <c r="D14" s="4" t="s">
        <v>95</v>
      </c>
      <c r="E14" s="4" t="s">
        <v>592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hidden="1" customHeight="1">
      <c r="A15" s="7">
        <v>14</v>
      </c>
      <c r="B15" s="6" t="s">
        <v>110</v>
      </c>
      <c r="C15" s="6" t="s">
        <v>111</v>
      </c>
      <c r="D15" s="4" t="s">
        <v>95</v>
      </c>
      <c r="E15" s="4" t="s">
        <v>592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hidden="1" customHeight="1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593</v>
      </c>
      <c r="H16" s="4" t="s">
        <v>151</v>
      </c>
      <c r="I16" s="4" t="b">
        <v>1</v>
      </c>
      <c r="J16" s="4" t="s">
        <v>573</v>
      </c>
      <c r="K16" s="4" t="b">
        <f>IF(COUNTIF($B$2:$B16,B16)&gt;1,TRUE,FALSE)</f>
        <v>0</v>
      </c>
      <c r="L16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hidden="1" customHeight="1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hidden="1" customHeight="1">
      <c r="A18" s="7">
        <v>19</v>
      </c>
      <c r="B18" s="6" t="s">
        <v>479</v>
      </c>
      <c r="C18" s="6" t="s">
        <v>114</v>
      </c>
      <c r="D18" s="4" t="s">
        <v>95</v>
      </c>
      <c r="E18" s="4" t="s">
        <v>592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hidden="1" customHeight="1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hidden="1" customHeight="1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591</v>
      </c>
      <c r="H20" s="4" t="s">
        <v>155</v>
      </c>
      <c r="I20" s="4" t="b">
        <v>0</v>
      </c>
      <c r="K20" s="4" t="b">
        <f>IF(COUNTIF($B$2:$B20,B20)&gt;1,TRUE,FALSE)</f>
        <v>0</v>
      </c>
      <c r="L20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hidden="1" customHeight="1">
      <c r="A21" s="7">
        <v>22</v>
      </c>
      <c r="B21" s="6" t="s">
        <v>482</v>
      </c>
      <c r="C21" s="6" t="s">
        <v>114</v>
      </c>
      <c r="D21" s="4" t="s">
        <v>536</v>
      </c>
      <c r="E21" s="4" t="s">
        <v>592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t="str">
        <f t="shared" si="0"/>
        <v>p.update({"constant":{"manifest":{"type":"named_construct","subtype":"constant-ref","indent":0,"default_value":"","docs_url":"https://looker.com/docs/r/lookml/types/manifest/constant?version=7.14&amp;lookml=new","has_allowed_values":False,"allowed_values":""}}})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{"constant":{"manifest":{"type":"named_construct","subtype":"constant-ref","indent":0,"default_value":"","docs_url":"https://looker.com/docs/r/lookml/types/manifest/constant?version=7.14&amp;lookml=new","has_allowed_values":False,"allowed_values":""}}}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"type":"named_construct",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hidden="1" customHeight="1">
      <c r="A22" s="7">
        <v>23</v>
      </c>
      <c r="B22" s="6" t="s">
        <v>126</v>
      </c>
      <c r="C22" s="6" t="s">
        <v>114</v>
      </c>
      <c r="D22" s="4" t="s">
        <v>95</v>
      </c>
      <c r="E22" s="4" t="s">
        <v>592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hidden="1" customHeight="1">
      <c r="A23" s="7">
        <v>26</v>
      </c>
      <c r="B23" s="6" t="s">
        <v>12</v>
      </c>
      <c r="C23" s="6" t="s">
        <v>110</v>
      </c>
      <c r="D23" s="4" t="s">
        <v>95</v>
      </c>
      <c r="E23" s="4" t="s">
        <v>592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hidden="1" customHeight="1">
      <c r="A24" s="7">
        <v>27</v>
      </c>
      <c r="B24" s="6" t="s">
        <v>123</v>
      </c>
      <c r="C24" s="6" t="s">
        <v>110</v>
      </c>
      <c r="D24" s="4" t="s">
        <v>95</v>
      </c>
      <c r="E24" s="4" t="s">
        <v>592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hidden="1" customHeight="1">
      <c r="A25" s="7">
        <v>28</v>
      </c>
      <c r="B25" s="6" t="s">
        <v>13</v>
      </c>
      <c r="C25" s="6" t="s">
        <v>110</v>
      </c>
      <c r="D25" s="4" t="s">
        <v>17</v>
      </c>
      <c r="E25" s="4" t="s">
        <v>595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hidden="1" customHeight="1">
      <c r="A26" s="7">
        <v>29</v>
      </c>
      <c r="B26" s="6" t="s">
        <v>90</v>
      </c>
      <c r="C26" s="6" t="s">
        <v>110</v>
      </c>
      <c r="D26" s="4" t="s">
        <v>101</v>
      </c>
      <c r="E26" s="4" t="s">
        <v>595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hidden="1" customHeight="1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572</v>
      </c>
      <c r="K27" s="4" t="b">
        <f>IF(COUNTIF($B$2:$B27,B27)&gt;1,TRUE,FALSE)</f>
        <v>0</v>
      </c>
      <c r="L27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hidden="1" customHeight="1">
      <c r="A28" s="7">
        <v>31</v>
      </c>
      <c r="B28" s="6" t="s">
        <v>124</v>
      </c>
      <c r="C28" s="6" t="s">
        <v>110</v>
      </c>
      <c r="D28" s="4" t="s">
        <v>95</v>
      </c>
      <c r="E28" s="4" t="s">
        <v>592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hidden="1" customHeight="1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603</v>
      </c>
      <c r="H29" s="4" t="s">
        <v>164</v>
      </c>
      <c r="I29" s="4" t="b">
        <v>0</v>
      </c>
      <c r="K29" s="4" t="b">
        <f>IF(COUNTIF($B$2:$B29,B29)&gt;1,TRUE,FALSE)</f>
        <v>0</v>
      </c>
      <c r="L29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hidden="1" customHeight="1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591</v>
      </c>
      <c r="H30" s="4" t="s">
        <v>165</v>
      </c>
      <c r="I30" s="4" t="b">
        <v>0</v>
      </c>
      <c r="K30" s="4" t="b">
        <f>IF(COUNTIF($B$2:$B30,B30)&gt;1,TRUE,FALSE)</f>
        <v>1</v>
      </c>
      <c r="L30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hidden="1" customHeight="1">
      <c r="A31" s="7">
        <v>34</v>
      </c>
      <c r="B31" s="6" t="s">
        <v>61</v>
      </c>
      <c r="C31" s="6" t="s">
        <v>110</v>
      </c>
      <c r="D31" s="4" t="s">
        <v>95</v>
      </c>
      <c r="E31" s="4" t="s">
        <v>592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customHeight="1">
      <c r="A32" s="7">
        <v>35</v>
      </c>
      <c r="B32" s="6" t="s">
        <v>125</v>
      </c>
      <c r="C32" s="6" t="s">
        <v>110</v>
      </c>
      <c r="D32" s="4" t="s">
        <v>95</v>
      </c>
      <c r="E32" s="4" t="s">
        <v>592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hidden="1" customHeight="1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hidden="1" customHeight="1">
      <c r="A34" s="7">
        <v>37</v>
      </c>
      <c r="B34" s="6" t="s">
        <v>31</v>
      </c>
      <c r="C34" s="6" t="s">
        <v>110</v>
      </c>
      <c r="D34" s="4" t="s">
        <v>610</v>
      </c>
      <c r="E34" s="4" t="s">
        <v>595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hidden="1" customHeight="1">
      <c r="A35" s="7">
        <v>38</v>
      </c>
      <c r="B35" s="6" t="s">
        <v>136</v>
      </c>
      <c r="C35" s="6" t="s">
        <v>110</v>
      </c>
      <c r="D35" s="4" t="s">
        <v>95</v>
      </c>
      <c r="E35" s="4" t="s">
        <v>592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hidden="1" customHeight="1">
      <c r="A36" s="7">
        <v>39</v>
      </c>
      <c r="B36" s="6" t="s">
        <v>100</v>
      </c>
      <c r="C36" s="6" t="s">
        <v>110</v>
      </c>
      <c r="D36" s="4" t="s">
        <v>611</v>
      </c>
      <c r="E36" s="4" t="s">
        <v>34</v>
      </c>
      <c r="F36" s="4">
        <v>1</v>
      </c>
      <c r="G36" s="4" t="s">
        <v>591</v>
      </c>
      <c r="H36" s="4" t="s">
        <v>171</v>
      </c>
      <c r="I36" s="4" t="b">
        <v>0</v>
      </c>
      <c r="K36" s="4" t="b">
        <f>IF(COUNTIF($B$2:$B36,B36)&gt;1,TRUE,FALSE)</f>
        <v>0</v>
      </c>
      <c r="L36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hidden="1" customHeight="1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604</v>
      </c>
      <c r="H37" s="4" t="s">
        <v>172</v>
      </c>
      <c r="I37" s="4" t="b">
        <v>0</v>
      </c>
      <c r="K37" s="4" t="b">
        <f>IF(COUNTIF($B$2:$B37,B37)&gt;1,TRUE,FALSE)</f>
        <v>0</v>
      </c>
      <c r="L37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hidden="1" customHeight="1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591</v>
      </c>
      <c r="H38" s="4" t="s">
        <v>173</v>
      </c>
      <c r="I38" s="4" t="b">
        <v>0</v>
      </c>
      <c r="K38" s="4" t="b">
        <f>IF(COUNTIF($B$2:$B38,B38)&gt;1,TRUE,FALSE)</f>
        <v>0</v>
      </c>
      <c r="L38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hidden="1" customHeight="1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hidden="1" customHeight="1">
      <c r="A40" s="7">
        <v>45</v>
      </c>
      <c r="B40" s="6" t="s">
        <v>84</v>
      </c>
      <c r="C40" s="6" t="s">
        <v>89</v>
      </c>
      <c r="D40" s="4" t="s">
        <v>95</v>
      </c>
      <c r="E40" s="4" t="s">
        <v>592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hidden="1" customHeight="1">
      <c r="A41" s="7">
        <v>46</v>
      </c>
      <c r="B41" s="6" t="s">
        <v>85</v>
      </c>
      <c r="C41" s="6" t="s">
        <v>89</v>
      </c>
      <c r="D41" s="4" t="s">
        <v>540</v>
      </c>
      <c r="E41" s="4" t="s">
        <v>540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t="str">
        <f t="shared" si="0"/>
        <v>p.update(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"type":"anonymous_construct_plural",</v>
      </c>
      <c r="O41" t="str">
        <f t="shared" si="5"/>
        <v>"subtype":"anonymous_construct_plural",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hidden="1" customHeight="1">
      <c r="A42" s="7">
        <v>47</v>
      </c>
      <c r="B42" s="6" t="s">
        <v>86</v>
      </c>
      <c r="C42" s="6" t="s">
        <v>89</v>
      </c>
      <c r="D42" s="4" t="s">
        <v>101</v>
      </c>
      <c r="E42" s="4" t="s">
        <v>595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hidden="1" customHeight="1">
      <c r="A43" s="7">
        <v>48</v>
      </c>
      <c r="B43" s="6" t="s">
        <v>87</v>
      </c>
      <c r="C43" s="6" t="s">
        <v>89</v>
      </c>
      <c r="D43" s="4" t="s">
        <v>17</v>
      </c>
      <c r="E43" s="4" t="s">
        <v>595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hidden="1" customHeight="1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hidden="1" customHeight="1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604</v>
      </c>
      <c r="H45" s="4" t="s">
        <v>180</v>
      </c>
      <c r="I45" s="4" t="b">
        <v>0</v>
      </c>
      <c r="K45" s="4" t="b">
        <f>IF(COUNTIF($B$2:$B45,B45)&gt;1,TRUE,FALSE)</f>
        <v>1</v>
      </c>
      <c r="L45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hidden="1" customHeight="1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591</v>
      </c>
      <c r="H46" s="4" t="s">
        <v>181</v>
      </c>
      <c r="I46" s="4" t="b">
        <v>0</v>
      </c>
      <c r="K46" s="4" t="b">
        <f>IF(COUNTIF($B$2:$B46,B46)&gt;1,TRUE,FALSE)</f>
        <v>0</v>
      </c>
      <c r="L46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hidden="1" customHeight="1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591</v>
      </c>
      <c r="H47" s="4" t="s">
        <v>182</v>
      </c>
      <c r="I47" s="4" t="b">
        <v>0</v>
      </c>
      <c r="K47" s="4" t="b">
        <f>IF(COUNTIF($B$2:$B47,B47)&gt;1,TRUE,FALSE)</f>
        <v>0</v>
      </c>
      <c r="L47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hidden="1" customHeight="1">
      <c r="A48" s="7">
        <v>53</v>
      </c>
      <c r="B48" s="6" t="s">
        <v>90</v>
      </c>
      <c r="C48" s="6" t="s">
        <v>89</v>
      </c>
      <c r="D48" s="4" t="s">
        <v>15</v>
      </c>
      <c r="E48" s="4" t="s">
        <v>595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hidden="1" customHeight="1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572</v>
      </c>
      <c r="K49" s="4" t="b">
        <f>IF(COUNTIF($B$2:$B49,B49)&gt;1,TRUE,FALSE)</f>
        <v>1</v>
      </c>
      <c r="L49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hidden="1" customHeight="1">
      <c r="A50" s="7">
        <v>55</v>
      </c>
      <c r="B50" s="6" t="s">
        <v>94</v>
      </c>
      <c r="C50" s="6" t="s">
        <v>89</v>
      </c>
      <c r="D50" s="4" t="s">
        <v>101</v>
      </c>
      <c r="E50" s="4" t="s">
        <v>598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 hidden="1">
      <c r="A51" s="7">
        <v>56</v>
      </c>
      <c r="B51" s="6" t="s">
        <v>92</v>
      </c>
      <c r="C51" s="6" t="s">
        <v>89</v>
      </c>
      <c r="D51" s="4" t="s">
        <v>17</v>
      </c>
      <c r="E51" s="4" t="s">
        <v>595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 hidden="1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603</v>
      </c>
      <c r="H52" s="4" t="s">
        <v>187</v>
      </c>
      <c r="I52" s="4" t="b">
        <v>0</v>
      </c>
      <c r="K52" s="4" t="b">
        <f>IF(COUNTIF($B$2:$B52,B52)&gt;1,TRUE,FALSE)</f>
        <v>1</v>
      </c>
      <c r="L52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 hidden="1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603</v>
      </c>
      <c r="H53" s="4" t="s">
        <v>188</v>
      </c>
      <c r="I53" s="4" t="b">
        <v>0</v>
      </c>
      <c r="K53" s="4" t="b">
        <f>IF(COUNTIF($B$2:$B53,B53)&gt;1,TRUE,FALSE)</f>
        <v>0</v>
      </c>
      <c r="L53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 hidden="1">
      <c r="A54" s="7">
        <v>59</v>
      </c>
      <c r="B54" s="6" t="s">
        <v>96</v>
      </c>
      <c r="C54" s="6" t="s">
        <v>89</v>
      </c>
      <c r="D54" s="4" t="s">
        <v>95</v>
      </c>
      <c r="E54" s="4" t="s">
        <v>592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 hidden="1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591</v>
      </c>
      <c r="H55" s="4" t="s">
        <v>190</v>
      </c>
      <c r="I55" s="4" t="b">
        <v>0</v>
      </c>
      <c r="K55" s="4" t="b">
        <f>IF(COUNTIF($B$2:$B55,B55)&gt;1,TRUE,FALSE)</f>
        <v>1</v>
      </c>
      <c r="L55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 hidden="1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591</v>
      </c>
      <c r="H56" s="4" t="s">
        <v>191</v>
      </c>
      <c r="I56" s="4" t="b">
        <v>0</v>
      </c>
      <c r="K56" s="4" t="b">
        <f>IF(COUNTIF($B$2:$B56,B56)&gt;1,TRUE,FALSE)</f>
        <v>1</v>
      </c>
      <c r="L56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 hidden="1">
      <c r="A57" s="7">
        <v>62</v>
      </c>
      <c r="B57" s="6" t="s">
        <v>97</v>
      </c>
      <c r="C57" s="6" t="s">
        <v>89</v>
      </c>
      <c r="D57" s="4" t="s">
        <v>68</v>
      </c>
      <c r="E57" s="4" t="s">
        <v>598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 hidden="1">
      <c r="A58" s="7">
        <v>63</v>
      </c>
      <c r="B58" s="6" t="s">
        <v>31</v>
      </c>
      <c r="C58" s="6" t="s">
        <v>89</v>
      </c>
      <c r="D58" s="4" t="s">
        <v>610</v>
      </c>
      <c r="E58" s="4" t="s">
        <v>595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 hidden="1">
      <c r="A59" s="7">
        <v>64</v>
      </c>
      <c r="B59" s="6" t="s">
        <v>99</v>
      </c>
      <c r="C59" s="6" t="s">
        <v>89</v>
      </c>
      <c r="D59" s="4" t="s">
        <v>611</v>
      </c>
      <c r="E59" s="4" t="s">
        <v>34</v>
      </c>
      <c r="F59" s="4">
        <v>1</v>
      </c>
      <c r="G59" s="4" t="s">
        <v>591</v>
      </c>
      <c r="H59" s="4" t="s">
        <v>194</v>
      </c>
      <c r="I59" s="4" t="b">
        <v>0</v>
      </c>
      <c r="K59" s="4" t="b">
        <f>IF(COUNTIF($B$2:$B59,B59)&gt;1,TRUE,FALSE)</f>
        <v>0</v>
      </c>
      <c r="L59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 hidden="1">
      <c r="A60" s="7">
        <v>65</v>
      </c>
      <c r="B60" s="6" t="s">
        <v>98</v>
      </c>
      <c r="C60" s="6" t="s">
        <v>89</v>
      </c>
      <c r="D60" s="4" t="s">
        <v>611</v>
      </c>
      <c r="E60" s="4" t="s">
        <v>34</v>
      </c>
      <c r="F60" s="4">
        <v>1</v>
      </c>
      <c r="G60" s="4" t="s">
        <v>591</v>
      </c>
      <c r="H60" s="4" t="s">
        <v>195</v>
      </c>
      <c r="I60" s="4" t="b">
        <v>0</v>
      </c>
      <c r="K60" s="4" t="b">
        <f>IF(COUNTIF($B$2:$B60,B60)&gt;1,TRUE,FALSE)</f>
        <v>0</v>
      </c>
      <c r="L60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 hidden="1">
      <c r="A61" s="7">
        <v>66</v>
      </c>
      <c r="B61" s="6" t="s">
        <v>100</v>
      </c>
      <c r="C61" s="6" t="s">
        <v>89</v>
      </c>
      <c r="D61" s="4" t="s">
        <v>611</v>
      </c>
      <c r="E61" s="4" t="s">
        <v>34</v>
      </c>
      <c r="F61" s="4">
        <v>1</v>
      </c>
      <c r="G61" s="4" t="s">
        <v>591</v>
      </c>
      <c r="H61" s="4" t="s">
        <v>196</v>
      </c>
      <c r="I61" s="4" t="b">
        <v>0</v>
      </c>
      <c r="K61" s="4" t="b">
        <f>IF(COUNTIF($B$2:$B61,B61)&gt;1,TRUE,FALSE)</f>
        <v>1</v>
      </c>
      <c r="L61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 hidden="1">
      <c r="A62" s="7">
        <v>67</v>
      </c>
      <c r="B62" s="6" t="s">
        <v>47</v>
      </c>
      <c r="C62" s="6" t="s">
        <v>89</v>
      </c>
      <c r="D62" s="4" t="s">
        <v>597</v>
      </c>
      <c r="E62" s="4" t="s">
        <v>597</v>
      </c>
      <c r="F62" s="4">
        <v>1</v>
      </c>
      <c r="H62" s="4" t="s">
        <v>197</v>
      </c>
      <c r="I62" s="4" t="b">
        <v>0</v>
      </c>
      <c r="K62" s="4" t="b">
        <f>IF(COUNTIF($B$2:$B62,B62)&gt;1,TRUE,FALSE)</f>
        <v>0</v>
      </c>
      <c r="L62" t="str">
        <f t="shared" si="0"/>
        <v>p.update({"tags":{"explore":{"type":"list_quoted","subtype":"list_quoted","indent":1,"default_value":"","docs_url":"https://looker.com/docs/r/lookml/types/explore/tags?version=7.14&amp;lookml=new","has_allowed_values":False,"allowed_values":""}}})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{"tags":{"explore":{"type":"list_quoted","subtype":"list_quoted","indent":1,"default_value":"","docs_url":"https://looker.com/docs/r/lookml/types/explore/tags?version=7.14&amp;lookml=new","has_allowed_values":False,"allowed_values":""}}}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"default_value":"",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 hidden="1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591</v>
      </c>
      <c r="H63" s="4" t="s">
        <v>198</v>
      </c>
      <c r="I63" s="4" t="b">
        <v>0</v>
      </c>
      <c r="K63" s="4" t="b">
        <f>IF(COUNTIF($B$2:$B63,B63)&gt;1,TRUE,FALSE)</f>
        <v>1</v>
      </c>
      <c r="L63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 hidden="1">
      <c r="A64" s="7">
        <v>69</v>
      </c>
      <c r="B64" s="6" t="s">
        <v>102</v>
      </c>
      <c r="C64" s="6" t="s">
        <v>89</v>
      </c>
      <c r="D64" s="4" t="s">
        <v>101</v>
      </c>
      <c r="E64" s="1" t="s">
        <v>598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 hidden="1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 hidden="1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604</v>
      </c>
      <c r="H66" s="4" t="s">
        <v>201</v>
      </c>
      <c r="I66" s="4" t="b">
        <v>0</v>
      </c>
      <c r="K66" s="4" t="b">
        <f>IF(COUNTIF($B$2:$B66,B66)&gt;1,TRUE,FALSE)</f>
        <v>0</v>
      </c>
      <c r="L66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 hidden="1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603</v>
      </c>
      <c r="H67" s="4" t="s">
        <v>202</v>
      </c>
      <c r="I67" s="4" t="b">
        <v>0</v>
      </c>
      <c r="K67" s="4" t="b">
        <f>IF(COUNTIF($B$2:$B67,B67)&gt;1,TRUE,FALSE)</f>
        <v>0</v>
      </c>
      <c r="L67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 hidden="1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603</v>
      </c>
      <c r="H68" s="4" t="s">
        <v>203</v>
      </c>
      <c r="I68" s="4" t="b">
        <v>0</v>
      </c>
      <c r="K68" s="4" t="b">
        <f>IF(COUNTIF($B$2:$B68,B68)&gt;1,TRUE,FALSE)</f>
        <v>0</v>
      </c>
      <c r="L68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 hidden="1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604</v>
      </c>
      <c r="H69" s="4" t="s">
        <v>204</v>
      </c>
      <c r="I69" s="4" t="b">
        <v>0</v>
      </c>
      <c r="K69" s="4" t="b">
        <f>IF(COUNTIF($B$2:$B69,B69)&gt;1,TRUE,FALSE)</f>
        <v>0</v>
      </c>
      <c r="L69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 hidden="1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 hidden="1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604</v>
      </c>
      <c r="H71" s="4" t="s">
        <v>206</v>
      </c>
      <c r="I71" s="4" t="b">
        <v>0</v>
      </c>
      <c r="K71" s="4" t="b">
        <f>IF(COUNTIF($B$2:$B71,B71)&gt;1,TRUE,FALSE)</f>
        <v>1</v>
      </c>
      <c r="L71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 hidden="1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574</v>
      </c>
      <c r="H72" s="4" t="s">
        <v>207</v>
      </c>
      <c r="I72" s="4" t="b">
        <v>1</v>
      </c>
      <c r="J72" s="4" t="s">
        <v>575</v>
      </c>
      <c r="K72" s="4" t="b">
        <f>IF(COUNTIF($B$2:$B72,B72)&gt;1,TRUE,FALSE)</f>
        <v>0</v>
      </c>
      <c r="L72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 hidden="1">
      <c r="A73" s="7">
        <v>80</v>
      </c>
      <c r="B73" s="6" t="s">
        <v>13</v>
      </c>
      <c r="C73" s="6" t="s">
        <v>12</v>
      </c>
      <c r="D73" s="4" t="s">
        <v>17</v>
      </c>
      <c r="E73" s="4" t="s">
        <v>595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 hidden="1">
      <c r="A74" s="7">
        <v>81</v>
      </c>
      <c r="B74" s="6" t="s">
        <v>14</v>
      </c>
      <c r="C74" s="6" t="s">
        <v>12</v>
      </c>
      <c r="D74" s="4" t="s">
        <v>17</v>
      </c>
      <c r="E74" s="1" t="s">
        <v>598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 hidden="1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591</v>
      </c>
      <c r="H75" s="4" t="s">
        <v>210</v>
      </c>
      <c r="I75" s="4" t="b">
        <v>0</v>
      </c>
      <c r="K75" s="4" t="b">
        <f>IF(COUNTIF($B$2:$B75,B75)&gt;1,TRUE,FALSE)</f>
        <v>0</v>
      </c>
      <c r="L75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 hidden="1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604</v>
      </c>
      <c r="H76" s="4" t="s">
        <v>211</v>
      </c>
      <c r="I76" s="4" t="b">
        <v>0</v>
      </c>
      <c r="K76" s="4" t="b">
        <f>IF(COUNTIF($B$2:$B76,B76)&gt;1,TRUE,FALSE)</f>
        <v>0</v>
      </c>
      <c r="L76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 hidden="1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591</v>
      </c>
      <c r="H77" s="4" t="s">
        <v>212</v>
      </c>
      <c r="I77" s="4" t="b">
        <v>0</v>
      </c>
      <c r="K77" s="4" t="b">
        <f>IF(COUNTIF($B$2:$B77,B77)&gt;1,TRUE,FALSE)</f>
        <v>1</v>
      </c>
      <c r="L77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 hidden="1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591</v>
      </c>
      <c r="H78" s="4" t="s">
        <v>213</v>
      </c>
      <c r="I78" s="4" t="b">
        <v>0</v>
      </c>
      <c r="K78" s="4" t="b">
        <f>IF(COUNTIF($B$2:$B78,B78)&gt;1,TRUE,FALSE)</f>
        <v>0</v>
      </c>
      <c r="L78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 hidden="1">
      <c r="A79" s="7">
        <v>86</v>
      </c>
      <c r="B79" s="6" t="s">
        <v>22</v>
      </c>
      <c r="C79" s="6" t="s">
        <v>12</v>
      </c>
      <c r="D79" s="4" t="s">
        <v>612</v>
      </c>
      <c r="E79" s="4" t="s">
        <v>22</v>
      </c>
      <c r="F79" s="4">
        <v>2</v>
      </c>
      <c r="G79" s="4" t="s">
        <v>591</v>
      </c>
      <c r="H79" s="4" t="s">
        <v>214</v>
      </c>
      <c r="I79" s="4" t="b">
        <v>0</v>
      </c>
      <c r="K79" s="4" t="b">
        <f>IF(COUNTIF($B$2:$B79,B79)&gt;1,TRUE,FALSE)</f>
        <v>0</v>
      </c>
      <c r="L79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>
      <c r="A80" s="7">
        <v>87</v>
      </c>
      <c r="B80" s="6" t="s">
        <v>24</v>
      </c>
      <c r="C80" s="6" t="s">
        <v>12</v>
      </c>
      <c r="D80" s="4" t="s">
        <v>17</v>
      </c>
      <c r="E80" s="1" t="s">
        <v>598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 hidden="1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 hidden="1">
      <c r="A82" s="7">
        <v>89</v>
      </c>
      <c r="B82" s="6" t="s">
        <v>27</v>
      </c>
      <c r="C82" s="6" t="s">
        <v>12</v>
      </c>
      <c r="D82" s="4" t="s">
        <v>26</v>
      </c>
      <c r="E82" s="1" t="s">
        <v>598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 hidden="1">
      <c r="A83" s="7">
        <v>90</v>
      </c>
      <c r="B83" s="6" t="s">
        <v>28</v>
      </c>
      <c r="C83" s="6" t="s">
        <v>12</v>
      </c>
      <c r="D83" s="4" t="s">
        <v>17</v>
      </c>
      <c r="E83" s="1" t="s">
        <v>598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 hidden="1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603</v>
      </c>
      <c r="H84" s="4" t="s">
        <v>219</v>
      </c>
      <c r="I84" s="4" t="b">
        <v>0</v>
      </c>
      <c r="K84" s="4" t="b">
        <f>IF(COUNTIF($B$2:$B84,B84)&gt;1,TRUE,FALSE)</f>
        <v>0</v>
      </c>
      <c r="L8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 hidden="1">
      <c r="A85" s="7">
        <v>92</v>
      </c>
      <c r="B85" s="6" t="s">
        <v>32</v>
      </c>
      <c r="C85" s="6" t="s">
        <v>12</v>
      </c>
      <c r="D85" s="4" t="s">
        <v>17</v>
      </c>
      <c r="E85" s="4" t="s">
        <v>595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 hidden="1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603</v>
      </c>
      <c r="H86" s="4" t="s">
        <v>221</v>
      </c>
      <c r="I86" s="4" t="b">
        <v>0</v>
      </c>
      <c r="K86" s="4" t="b">
        <f>IF(COUNTIF($B$2:$B86,B86)&gt;1,TRUE,FALSE)</f>
        <v>0</v>
      </c>
      <c r="L86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 hidden="1">
      <c r="A87" s="7">
        <v>94</v>
      </c>
      <c r="B87" s="6" t="s">
        <v>39</v>
      </c>
      <c r="C87" s="6" t="s">
        <v>12</v>
      </c>
      <c r="D87" s="4" t="s">
        <v>17</v>
      </c>
      <c r="E87" s="1" t="s">
        <v>598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 hidden="1">
      <c r="A88" s="7">
        <v>95</v>
      </c>
      <c r="B88" s="6" t="s">
        <v>46</v>
      </c>
      <c r="C88" s="6" t="s">
        <v>12</v>
      </c>
      <c r="D88" s="4" t="s">
        <v>597</v>
      </c>
      <c r="E88" s="4" t="s">
        <v>597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 hidden="1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591</v>
      </c>
      <c r="H89" s="4" t="s">
        <v>224</v>
      </c>
      <c r="I89" s="4" t="b">
        <v>0</v>
      </c>
      <c r="K89" s="4" t="b">
        <f>IF(COUNTIF($B$2:$B89,B89)&gt;1,TRUE,FALSE)</f>
        <v>0</v>
      </c>
      <c r="L89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 hidden="1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576</v>
      </c>
      <c r="H90" s="4" t="s">
        <v>225</v>
      </c>
      <c r="I90" s="4" t="b">
        <v>1</v>
      </c>
      <c r="J90" s="4" t="s">
        <v>577</v>
      </c>
      <c r="K90" s="4" t="b">
        <f>IF(COUNTIF($B$2:$B90,B90)&gt;1,TRUE,FALSE)</f>
        <v>0</v>
      </c>
      <c r="L90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 hidden="1">
      <c r="A91" s="7">
        <v>98</v>
      </c>
      <c r="B91" s="6" t="s">
        <v>34</v>
      </c>
      <c r="C91" s="6" t="s">
        <v>12</v>
      </c>
      <c r="D91" s="4" t="s">
        <v>611</v>
      </c>
      <c r="E91" s="4" t="s">
        <v>34</v>
      </c>
      <c r="F91" s="4">
        <v>2</v>
      </c>
      <c r="G91" s="4" t="s">
        <v>591</v>
      </c>
      <c r="H91" s="4" t="s">
        <v>226</v>
      </c>
      <c r="I91" s="4" t="b">
        <v>0</v>
      </c>
      <c r="K91" s="4" t="b">
        <f>IF(COUNTIF($B$2:$B91,B91)&gt;1,TRUE,FALSE)</f>
        <v>0</v>
      </c>
      <c r="L91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 hidden="1">
      <c r="A92" s="7">
        <v>99</v>
      </c>
      <c r="B92" s="6" t="s">
        <v>35</v>
      </c>
      <c r="C92" s="6" t="s">
        <v>12</v>
      </c>
      <c r="D92" s="4" t="s">
        <v>611</v>
      </c>
      <c r="E92" s="4" t="s">
        <v>34</v>
      </c>
      <c r="F92" s="4">
        <v>2</v>
      </c>
      <c r="G92" s="4" t="s">
        <v>591</v>
      </c>
      <c r="H92" s="4" t="s">
        <v>227</v>
      </c>
      <c r="I92" s="4" t="b">
        <v>0</v>
      </c>
      <c r="K92" s="4" t="b">
        <f>IF(COUNTIF($B$2:$B92,B92)&gt;1,TRUE,FALSE)</f>
        <v>0</v>
      </c>
      <c r="L92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 hidden="1">
      <c r="A93" s="7">
        <v>100</v>
      </c>
      <c r="B93" s="6" t="s">
        <v>38</v>
      </c>
      <c r="C93" s="6" t="s">
        <v>12</v>
      </c>
      <c r="D93" s="4" t="s">
        <v>611</v>
      </c>
      <c r="E93" s="4" t="s">
        <v>34</v>
      </c>
      <c r="F93" s="4">
        <v>2</v>
      </c>
      <c r="G93" s="4" t="s">
        <v>591</v>
      </c>
      <c r="H93" s="4" t="s">
        <v>228</v>
      </c>
      <c r="I93" s="4" t="b">
        <v>0</v>
      </c>
      <c r="K93" s="4" t="b">
        <f>IF(COUNTIF($B$2:$B93,B93)&gt;1,TRUE,FALSE)</f>
        <v>0</v>
      </c>
      <c r="L93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 hidden="1">
      <c r="A94" s="7">
        <v>101</v>
      </c>
      <c r="B94" s="6" t="s">
        <v>48</v>
      </c>
      <c r="C94" s="6" t="s">
        <v>12</v>
      </c>
      <c r="D94" s="4" t="s">
        <v>62</v>
      </c>
      <c r="E94" s="4" t="s">
        <v>595</v>
      </c>
      <c r="F94" s="4">
        <v>2</v>
      </c>
      <c r="G94" s="4" t="s">
        <v>594</v>
      </c>
      <c r="H94" s="4" t="s">
        <v>229</v>
      </c>
      <c r="I94" s="4" t="b">
        <v>0</v>
      </c>
      <c r="K94" s="4" t="b">
        <f>IF(COUNTIF($B$2:$B94,B94)&gt;1,TRUE,FALSE)</f>
        <v>0</v>
      </c>
      <c r="L9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 hidden="1">
      <c r="A95" s="7">
        <v>102</v>
      </c>
      <c r="B95" s="6" t="s">
        <v>37</v>
      </c>
      <c r="C95" s="6" t="s">
        <v>12</v>
      </c>
      <c r="D95" s="4" t="s">
        <v>611</v>
      </c>
      <c r="E95" s="4" t="s">
        <v>34</v>
      </c>
      <c r="F95" s="4">
        <v>2</v>
      </c>
      <c r="G95" s="4" t="s">
        <v>591</v>
      </c>
      <c r="H95" s="4" t="s">
        <v>230</v>
      </c>
      <c r="I95" s="4" t="b">
        <v>0</v>
      </c>
      <c r="K95" s="4" t="b">
        <f>IF(COUNTIF($B$2:$B95,B95)&gt;1,TRUE,FALSE)</f>
        <v>0</v>
      </c>
      <c r="L95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 hidden="1">
      <c r="A96" s="7">
        <v>103</v>
      </c>
      <c r="B96" s="6" t="s">
        <v>36</v>
      </c>
      <c r="C96" s="6" t="s">
        <v>12</v>
      </c>
      <c r="D96" s="4" t="s">
        <v>611</v>
      </c>
      <c r="E96" s="4" t="s">
        <v>34</v>
      </c>
      <c r="F96" s="4">
        <v>2</v>
      </c>
      <c r="G96" s="4" t="s">
        <v>591</v>
      </c>
      <c r="H96" s="4" t="s">
        <v>231</v>
      </c>
      <c r="I96" s="4" t="b">
        <v>0</v>
      </c>
      <c r="K96" s="4" t="b">
        <f>IF(COUNTIF($B$2:$B96,B96)&gt;1,TRUE,FALSE)</f>
        <v>0</v>
      </c>
      <c r="L96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 hidden="1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578</v>
      </c>
      <c r="H97" s="4" t="s">
        <v>232</v>
      </c>
      <c r="I97" s="4" t="b">
        <v>1</v>
      </c>
      <c r="J97" s="4" t="s">
        <v>579</v>
      </c>
      <c r="K97" s="4" t="b">
        <f>IF(COUNTIF($B$2:$B97,B97)&gt;1,TRUE,FALSE)</f>
        <v>0</v>
      </c>
      <c r="L97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hidden="1" customHeight="1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580</v>
      </c>
      <c r="H98" s="4" t="s">
        <v>233</v>
      </c>
      <c r="I98" s="4" t="b">
        <v>1</v>
      </c>
      <c r="J98" s="8" t="s">
        <v>581</v>
      </c>
      <c r="K98" s="4" t="b">
        <f>IF(COUNTIF($B$2:$B98,B98)&gt;1,TRUE,FALSE)</f>
        <v>0</v>
      </c>
      <c r="L98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 hidden="1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591</v>
      </c>
      <c r="H99" s="4" t="s">
        <v>234</v>
      </c>
      <c r="I99" s="4" t="b">
        <v>0</v>
      </c>
      <c r="K99" s="4" t="b">
        <f>IF(COUNTIF($B$2:$B99,B99)&gt;1,TRUE,FALSE)</f>
        <v>0</v>
      </c>
      <c r="L99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 hidden="1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598</v>
      </c>
      <c r="F100" s="4">
        <v>2</v>
      </c>
      <c r="G100" s="4" t="s">
        <v>599</v>
      </c>
      <c r="H100" s="4" t="s">
        <v>235</v>
      </c>
      <c r="I100" s="4" t="b">
        <v>0</v>
      </c>
      <c r="K100" s="4" t="b">
        <f>IF(COUNTIF($B$2:$B100,B100)&gt;1,TRUE,FALSE)</f>
        <v>0</v>
      </c>
      <c r="L100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 hidden="1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595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 hidden="1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604</v>
      </c>
      <c r="H102" s="4" t="s">
        <v>237</v>
      </c>
      <c r="I102" s="4" t="b">
        <v>0</v>
      </c>
      <c r="K102" s="4" t="b">
        <f>IF(COUNTIF($B$2:$B102,B102)&gt;1,TRUE,FALSE)</f>
        <v>0</v>
      </c>
      <c r="L102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 hidden="1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591</v>
      </c>
      <c r="H103" s="4" t="s">
        <v>238</v>
      </c>
      <c r="I103" s="4" t="b">
        <v>0</v>
      </c>
      <c r="K103" s="4" t="b">
        <f>IF(COUNTIF($B$2:$B103,B103)&gt;1,TRUE,FALSE)</f>
        <v>1</v>
      </c>
      <c r="L103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 hidden="1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603</v>
      </c>
      <c r="H104" s="4" t="s">
        <v>239</v>
      </c>
      <c r="I104" s="4" t="b">
        <v>0</v>
      </c>
      <c r="K104" s="4" t="b">
        <f>IF(COUNTIF($B$2:$B104,B104)&gt;1,TRUE,FALSE)</f>
        <v>1</v>
      </c>
      <c r="L10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 hidden="1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591</v>
      </c>
      <c r="H105" s="4" t="s">
        <v>240</v>
      </c>
      <c r="I105" s="4" t="b">
        <v>0</v>
      </c>
      <c r="K105" s="4" t="b">
        <f>IF(COUNTIF($B$2:$B105,B105)&gt;1,TRUE,FALSE)</f>
        <v>1</v>
      </c>
      <c r="L105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 hidden="1">
      <c r="A106" s="7">
        <v>113</v>
      </c>
      <c r="B106" s="6" t="s">
        <v>31</v>
      </c>
      <c r="C106" s="6" t="s">
        <v>12</v>
      </c>
      <c r="D106" s="4" t="s">
        <v>610</v>
      </c>
      <c r="E106" s="4" t="s">
        <v>595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 hidden="1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604</v>
      </c>
      <c r="H107" s="4" t="s">
        <v>242</v>
      </c>
      <c r="I107" s="4" t="b">
        <v>0</v>
      </c>
      <c r="K107" s="4" t="b">
        <f>IF(COUNTIF($B$2:$B107,B107)&gt;1,TRUE,FALSE)</f>
        <v>0</v>
      </c>
      <c r="L107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 hidden="1">
      <c r="A108" s="7">
        <v>115</v>
      </c>
      <c r="B108" s="6" t="s">
        <v>47</v>
      </c>
      <c r="C108" s="6" t="s">
        <v>12</v>
      </c>
      <c r="D108" s="4" t="s">
        <v>597</v>
      </c>
      <c r="E108" s="4" t="s">
        <v>597</v>
      </c>
      <c r="F108" s="4">
        <v>2</v>
      </c>
      <c r="H108" s="4" t="s">
        <v>243</v>
      </c>
      <c r="I108" s="4" t="b">
        <v>0</v>
      </c>
      <c r="K108" s="4" t="b">
        <f>IF(COUNTIF($B$2:$B108,B108)&gt;1,TRUE,FALSE)</f>
        <v>1</v>
      </c>
      <c r="L108" t="str">
        <f t="shared" si="11"/>
        <v>p["tags"].update({"dimension":{"type":"list_quoted","subtype":"list_quoted","indent":2,"default_value":"","docs_url":"https://looker.com/docs/r/lookml/types/dimension/tags?version=7.14&amp;lookml=new","has_allowed_values":False,"allowed_values":""}})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{"tags":{"dimension":{"type":"list_quoted","subtype":"list_quoted","indent":2,"default_value":"","docs_url":"https://looker.com/docs/r/lookml/types/dimension/tags?version=7.14&amp;lookml=new","has_allowed_values":False,"allowed_values":""}}}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"default_value":"",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 hidden="1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hidden="1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598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 hidden="1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598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 hidden="1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591</v>
      </c>
      <c r="H112" s="4" t="s">
        <v>247</v>
      </c>
      <c r="I112" s="4" t="b">
        <v>0</v>
      </c>
      <c r="K112" s="4" t="b">
        <f>IF(COUNTIF($B$2:$B112,B112)&gt;1,TRUE,FALSE)</f>
        <v>1</v>
      </c>
      <c r="L112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 hidden="1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 hidden="1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603</v>
      </c>
      <c r="H114" s="4" t="s">
        <v>249</v>
      </c>
      <c r="I114" s="4" t="b">
        <v>0</v>
      </c>
      <c r="K114" s="4" t="b">
        <f>IF(COUNTIF($B$2:$B114,B114)&gt;1,TRUE,FALSE)</f>
        <v>0</v>
      </c>
      <c r="L1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 hidden="1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598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 hidden="1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603</v>
      </c>
      <c r="H116" s="4" t="s">
        <v>251</v>
      </c>
      <c r="I116" s="4" t="b">
        <v>0</v>
      </c>
      <c r="K116" s="4" t="b">
        <f>IF(COUNTIF($B$2:$B116,B116)&gt;1,TRUE,FALSE)</f>
        <v>0</v>
      </c>
      <c r="L116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 hidden="1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604</v>
      </c>
      <c r="H117" s="4" t="s">
        <v>252</v>
      </c>
      <c r="I117" s="4" t="b">
        <v>0</v>
      </c>
      <c r="K117" s="4" t="b">
        <f>IF(COUNTIF($B$2:$B117,B117)&gt;1,TRUE,FALSE)</f>
        <v>1</v>
      </c>
      <c r="L117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 hidden="1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574</v>
      </c>
      <c r="H118" s="4" t="s">
        <v>253</v>
      </c>
      <c r="I118" s="4" t="b">
        <v>1</v>
      </c>
      <c r="J118" s="4" t="s">
        <v>575</v>
      </c>
      <c r="K118" s="4" t="b">
        <f>IF(COUNTIF($B$2:$B118,B118)&gt;1,TRUE,FALSE)</f>
        <v>1</v>
      </c>
      <c r="L118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 hidden="1">
      <c r="A119" s="7">
        <v>128</v>
      </c>
      <c r="B119" s="6" t="s">
        <v>58</v>
      </c>
      <c r="C119" s="6" t="s">
        <v>61</v>
      </c>
      <c r="D119" s="4" t="s">
        <v>582</v>
      </c>
      <c r="E119" s="4" t="s">
        <v>582</v>
      </c>
      <c r="F119" s="4">
        <v>2</v>
      </c>
      <c r="G119" s="4" t="s">
        <v>583</v>
      </c>
      <c r="H119" s="4" t="s">
        <v>254</v>
      </c>
      <c r="I119" s="4" t="b">
        <v>1</v>
      </c>
      <c r="J119" s="4" t="s">
        <v>584</v>
      </c>
      <c r="K119" s="4" t="b">
        <f>IF(COUNTIF($B$2:$B119,B119)&gt;1,TRUE,FALSE)</f>
        <v>0</v>
      </c>
      <c r="L119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 hidden="1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595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 hidden="1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591</v>
      </c>
      <c r="H121" s="4" t="s">
        <v>256</v>
      </c>
      <c r="I121" s="4" t="b">
        <v>0</v>
      </c>
      <c r="K121" s="4" t="b">
        <f>IF(COUNTIF($B$2:$B121,B121)&gt;1,TRUE,FALSE)</f>
        <v>1</v>
      </c>
      <c r="L121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 hidden="1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 hidden="1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591</v>
      </c>
      <c r="H123" s="4" t="s">
        <v>258</v>
      </c>
      <c r="I123" s="4" t="b">
        <v>0</v>
      </c>
      <c r="K123" s="4" t="b">
        <f>IF(COUNTIF($B$2:$B123,B123)&gt;1,TRUE,FALSE)</f>
        <v>1</v>
      </c>
      <c r="L123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 hidden="1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591</v>
      </c>
      <c r="H124" s="4" t="s">
        <v>259</v>
      </c>
      <c r="I124" s="4" t="b">
        <v>0</v>
      </c>
      <c r="K124" s="4" t="b">
        <f>IF(COUNTIF($B$2:$B124,B124)&gt;1,TRUE,FALSE)</f>
        <v>1</v>
      </c>
      <c r="L12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 hidden="1">
      <c r="A125" s="7">
        <v>134</v>
      </c>
      <c r="B125" s="6" t="s">
        <v>22</v>
      </c>
      <c r="C125" s="6" t="s">
        <v>61</v>
      </c>
      <c r="D125" s="4" t="s">
        <v>612</v>
      </c>
      <c r="E125" s="4" t="s">
        <v>22</v>
      </c>
      <c r="F125" s="4">
        <v>2</v>
      </c>
      <c r="G125" s="4" t="s">
        <v>591</v>
      </c>
      <c r="H125" s="4" t="s">
        <v>260</v>
      </c>
      <c r="I125" s="4" t="b">
        <v>0</v>
      </c>
      <c r="K125" s="4" t="b">
        <f>IF(COUNTIF($B$2:$B125,B125)&gt;1,TRUE,FALSE)</f>
        <v>1</v>
      </c>
      <c r="L125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598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 hidden="1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 hidden="1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598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 hidden="1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598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 hidden="1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598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 hidden="1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598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 hidden="1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595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 hidden="1">
      <c r="A133" s="7">
        <v>142</v>
      </c>
      <c r="B133" s="6" t="s">
        <v>34</v>
      </c>
      <c r="C133" s="6" t="s">
        <v>61</v>
      </c>
      <c r="D133" s="4" t="s">
        <v>611</v>
      </c>
      <c r="E133" s="4" t="s">
        <v>34</v>
      </c>
      <c r="F133" s="4">
        <v>2</v>
      </c>
      <c r="G133" s="4" t="s">
        <v>591</v>
      </c>
      <c r="H133" s="4" t="s">
        <v>268</v>
      </c>
      <c r="I133" s="4" t="b">
        <v>0</v>
      </c>
      <c r="K133" s="4" t="b">
        <f>IF(COUNTIF($B$2:$B133,B133)&gt;1,TRUE,FALSE)</f>
        <v>1</v>
      </c>
      <c r="L133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 hidden="1">
      <c r="A134" s="7">
        <v>143</v>
      </c>
      <c r="B134" s="6" t="s">
        <v>65</v>
      </c>
      <c r="C134" s="6" t="s">
        <v>61</v>
      </c>
      <c r="D134" s="4" t="s">
        <v>611</v>
      </c>
      <c r="E134" s="4" t="s">
        <v>34</v>
      </c>
      <c r="F134" s="4">
        <v>2</v>
      </c>
      <c r="G134" s="4" t="s">
        <v>591</v>
      </c>
      <c r="H134" s="4" t="s">
        <v>269</v>
      </c>
      <c r="I134" s="4" t="b">
        <v>0</v>
      </c>
      <c r="K134" s="4" t="b">
        <f>IF(COUNTIF($B$2:$B134,B134)&gt;1,TRUE,FALSE)</f>
        <v>0</v>
      </c>
      <c r="L13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 hidden="1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591</v>
      </c>
      <c r="H135" s="4" t="s">
        <v>270</v>
      </c>
      <c r="I135" s="4" t="b">
        <v>0</v>
      </c>
      <c r="K135" s="4" t="b">
        <f>IF(COUNTIF($B$2:$B135,B135)&gt;1,TRUE,FALSE)</f>
        <v>1</v>
      </c>
      <c r="L135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 hidden="1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598</v>
      </c>
      <c r="F136" s="4">
        <v>2</v>
      </c>
      <c r="G136" s="4" t="s">
        <v>599</v>
      </c>
      <c r="H136" s="4" t="s">
        <v>271</v>
      </c>
      <c r="I136" s="4" t="b">
        <v>0</v>
      </c>
      <c r="K136" s="4" t="b">
        <f>IF(COUNTIF($B$2:$B136,B136)&gt;1,TRUE,FALSE)</f>
        <v>1</v>
      </c>
      <c r="L136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 hidden="1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595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 hidden="1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604</v>
      </c>
      <c r="H138" s="4" t="s">
        <v>273</v>
      </c>
      <c r="I138" s="4" t="b">
        <v>0</v>
      </c>
      <c r="K138" s="4" t="b">
        <f>IF(COUNTIF($B$2:$B138,B138)&gt;1,TRUE,FALSE)</f>
        <v>1</v>
      </c>
      <c r="L138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 hidden="1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591</v>
      </c>
      <c r="H139" s="4" t="s">
        <v>274</v>
      </c>
      <c r="I139" s="4" t="b">
        <v>0</v>
      </c>
      <c r="K139" s="4" t="b">
        <f>IF(COUNTIF($B$2:$B139,B139)&gt;1,TRUE,FALSE)</f>
        <v>1</v>
      </c>
      <c r="L139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 hidden="1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603</v>
      </c>
      <c r="H140" s="4" t="s">
        <v>275</v>
      </c>
      <c r="I140" s="4" t="b">
        <v>0</v>
      </c>
      <c r="K140" s="4" t="b">
        <f>IF(COUNTIF($B$2:$B140,B140)&gt;1,TRUE,FALSE)</f>
        <v>1</v>
      </c>
      <c r="L140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 hidden="1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591</v>
      </c>
      <c r="H141" s="4" t="s">
        <v>276</v>
      </c>
      <c r="I141" s="4" t="b">
        <v>0</v>
      </c>
      <c r="K141" s="4" t="b">
        <f>IF(COUNTIF($B$2:$B141,B141)&gt;1,TRUE,FALSE)</f>
        <v>1</v>
      </c>
      <c r="L141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 hidden="1">
      <c r="A142" s="7">
        <v>151</v>
      </c>
      <c r="B142" s="6" t="s">
        <v>31</v>
      </c>
      <c r="C142" s="6" t="s">
        <v>61</v>
      </c>
      <c r="D142" s="4" t="s">
        <v>610</v>
      </c>
      <c r="E142" s="4" t="s">
        <v>595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 hidden="1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604</v>
      </c>
      <c r="H143" s="4" t="s">
        <v>278</v>
      </c>
      <c r="I143" s="4" t="b">
        <v>0</v>
      </c>
      <c r="K143" s="4" t="b">
        <f>IF(COUNTIF($B$2:$B143,B143)&gt;1,TRUE,FALSE)</f>
        <v>1</v>
      </c>
      <c r="L143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 hidden="1">
      <c r="A144" s="7">
        <v>153</v>
      </c>
      <c r="B144" s="6" t="s">
        <v>47</v>
      </c>
      <c r="C144" s="6" t="s">
        <v>61</v>
      </c>
      <c r="D144" s="4" t="s">
        <v>597</v>
      </c>
      <c r="E144" s="4" t="s">
        <v>597</v>
      </c>
      <c r="F144" s="4">
        <v>2</v>
      </c>
      <c r="H144" s="4" t="s">
        <v>279</v>
      </c>
      <c r="I144" s="4" t="b">
        <v>0</v>
      </c>
      <c r="K144" s="4" t="b">
        <f>IF(COUNTIF($B$2:$B144,B144)&gt;1,TRUE,FALSE)</f>
        <v>1</v>
      </c>
      <c r="L144" t="str">
        <f t="shared" si="21"/>
        <v>p["tags"].update({"measure":{"type":"list_quoted","subtype":"list_quoted","indent":2,"default_value":"","docs_url":"https://looker.com/docs/r/lookml/types/measure/tags?version=7.14&amp;lookml=new","has_allowed_values":False,"allowed_values":""}})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{"tags":{"measure":{"type":"list_quoted","subtype":"list_quoted","indent":2,"default_value":"","docs_url":"https://looker.com/docs/r/lookml/types/measure/tags?version=7.14&amp;lookml=new","has_allowed_values":False,"allowed_values":""}}}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"default_value":"",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 hidden="1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571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t="str">
        <f t="shared" si="21"/>
        <v>p["type"].update(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"default_value":"count",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hidden="1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598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 hidden="1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598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 hidden="1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591</v>
      </c>
      <c r="H148" s="4" t="s">
        <v>283</v>
      </c>
      <c r="I148" s="4" t="b">
        <v>0</v>
      </c>
      <c r="K148" s="4" t="b">
        <f>IF(COUNTIF($B$2:$B148,B148)&gt;1,TRUE,FALSE)</f>
        <v>1</v>
      </c>
      <c r="L148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 hidden="1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604</v>
      </c>
      <c r="H149" s="4" t="s">
        <v>284</v>
      </c>
      <c r="I149" s="4" t="b">
        <v>0</v>
      </c>
      <c r="K149" s="4" t="b">
        <f>IF(COUNTIF($B$2:$B149,B149)&gt;1,TRUE,FALSE)</f>
        <v>1</v>
      </c>
      <c r="L149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 hidden="1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603</v>
      </c>
      <c r="H150" s="4" t="s">
        <v>285</v>
      </c>
      <c r="I150" s="4" t="b">
        <v>0</v>
      </c>
      <c r="K150" s="4" t="b">
        <f>IF(COUNTIF($B$2:$B150,B150)&gt;1,TRUE,FALSE)</f>
        <v>1</v>
      </c>
      <c r="L150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 hidden="1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604</v>
      </c>
      <c r="H151" s="4" t="s">
        <v>286</v>
      </c>
      <c r="I151" s="4" t="b">
        <v>0</v>
      </c>
      <c r="K151" s="4" t="b">
        <f>IF(COUNTIF($B$2:$B151,B151)&gt;1,TRUE,FALSE)</f>
        <v>1</v>
      </c>
      <c r="L151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 hidden="1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574</v>
      </c>
      <c r="H152" s="10" t="s">
        <v>287</v>
      </c>
      <c r="I152" s="4" t="b">
        <v>1</v>
      </c>
      <c r="J152" s="4" t="s">
        <v>575</v>
      </c>
      <c r="K152" s="4" t="b">
        <f>IF(COUNTIF($B$2:$B152,B152)&gt;1,TRUE,FALSE)</f>
        <v>1</v>
      </c>
      <c r="L152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 hidden="1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595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 hidden="1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591</v>
      </c>
      <c r="H154" s="4" t="s">
        <v>289</v>
      </c>
      <c r="I154" s="4" t="b">
        <v>0</v>
      </c>
      <c r="K154" s="4" t="b">
        <f>IF(COUNTIF($B$2:$B154,B154)&gt;1,TRUE,FALSE)</f>
        <v>1</v>
      </c>
      <c r="L15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 hidden="1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604</v>
      </c>
      <c r="H155" s="4" t="s">
        <v>290</v>
      </c>
      <c r="I155" s="4" t="b">
        <v>0</v>
      </c>
      <c r="K155" s="4" t="b">
        <f>IF(COUNTIF($B$2:$B155,B155)&gt;1,TRUE,FALSE)</f>
        <v>1</v>
      </c>
      <c r="L155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 hidden="1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591</v>
      </c>
      <c r="H156" s="4" t="s">
        <v>291</v>
      </c>
      <c r="I156" s="4" t="b">
        <v>0</v>
      </c>
      <c r="K156" s="4" t="b">
        <f>IF(COUNTIF($B$2:$B156,B156)&gt;1,TRUE,FALSE)</f>
        <v>1</v>
      </c>
      <c r="L156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 hidden="1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591</v>
      </c>
      <c r="H157" s="4" t="s">
        <v>292</v>
      </c>
      <c r="I157" s="4" t="b">
        <v>0</v>
      </c>
      <c r="K157" s="4" t="b">
        <f>IF(COUNTIF($B$2:$B157,B157)&gt;1,TRUE,FALSE)</f>
        <v>1</v>
      </c>
      <c r="L157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 hidden="1">
      <c r="A158" s="7">
        <v>169</v>
      </c>
      <c r="B158" s="6" t="s">
        <v>22</v>
      </c>
      <c r="C158" s="6" t="s">
        <v>123</v>
      </c>
      <c r="D158" s="4" t="s">
        <v>612</v>
      </c>
      <c r="E158" s="4" t="s">
        <v>22</v>
      </c>
      <c r="F158" s="4">
        <v>2</v>
      </c>
      <c r="G158" s="4" t="s">
        <v>591</v>
      </c>
      <c r="H158" s="4" t="s">
        <v>293</v>
      </c>
      <c r="I158" s="4" t="b">
        <v>0</v>
      </c>
      <c r="K158" s="4" t="b">
        <f>IF(COUNTIF($B$2:$B158,B158)&gt;1,TRUE,FALSE)</f>
        <v>1</v>
      </c>
      <c r="L158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 hidden="1">
      <c r="A159" s="7">
        <v>170</v>
      </c>
      <c r="B159" s="6" t="s">
        <v>483</v>
      </c>
      <c r="C159" s="6" t="s">
        <v>123</v>
      </c>
      <c r="D159" s="4" t="s">
        <v>595</v>
      </c>
      <c r="E159" s="4" t="s">
        <v>595</v>
      </c>
      <c r="F159" s="4">
        <v>2</v>
      </c>
      <c r="G159" s="4" t="s">
        <v>586</v>
      </c>
      <c r="H159" s="10" t="s">
        <v>294</v>
      </c>
      <c r="I159" s="4" t="b">
        <v>1</v>
      </c>
      <c r="J159" s="4" t="s">
        <v>585</v>
      </c>
      <c r="K159" s="4" t="b">
        <f>IF(COUNTIF($B$2:$B159,B159)&gt;1,TRUE,FALSE)</f>
        <v>0</v>
      </c>
      <c r="L159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 hidden="1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598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 hidden="1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603</v>
      </c>
      <c r="H161" s="4" t="s">
        <v>296</v>
      </c>
      <c r="I161" s="4" t="b">
        <v>0</v>
      </c>
      <c r="K161" s="4" t="b">
        <f>IF(COUNTIF($B$2:$B161,B161)&gt;1,TRUE,FALSE)</f>
        <v>1</v>
      </c>
      <c r="L161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 hidden="1">
      <c r="A162" s="7">
        <v>173</v>
      </c>
      <c r="B162" s="6" t="s">
        <v>34</v>
      </c>
      <c r="C162" s="6" t="s">
        <v>123</v>
      </c>
      <c r="D162" s="4" t="s">
        <v>611</v>
      </c>
      <c r="E162" s="4" t="s">
        <v>34</v>
      </c>
      <c r="F162" s="4">
        <v>2</v>
      </c>
      <c r="G162" s="4" t="s">
        <v>591</v>
      </c>
      <c r="H162" s="4" t="s">
        <v>297</v>
      </c>
      <c r="I162" s="4" t="b">
        <v>0</v>
      </c>
      <c r="K162" s="4" t="b">
        <f>IF(COUNTIF($B$2:$B162,B162)&gt;1,TRUE,FALSE)</f>
        <v>1</v>
      </c>
      <c r="L162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 hidden="1">
      <c r="A163" s="7">
        <v>174</v>
      </c>
      <c r="B163" s="6" t="s">
        <v>35</v>
      </c>
      <c r="C163" s="6" t="s">
        <v>123</v>
      </c>
      <c r="D163" s="4" t="s">
        <v>611</v>
      </c>
      <c r="E163" s="4" t="s">
        <v>34</v>
      </c>
      <c r="F163" s="4">
        <v>2</v>
      </c>
      <c r="G163" s="4" t="s">
        <v>591</v>
      </c>
      <c r="H163" s="4" t="s">
        <v>298</v>
      </c>
      <c r="I163" s="4" t="b">
        <v>0</v>
      </c>
      <c r="K163" s="4" t="b">
        <f>IF(COUNTIF($B$2:$B163,B163)&gt;1,TRUE,FALSE)</f>
        <v>1</v>
      </c>
      <c r="L163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 hidden="1">
      <c r="A164" s="7">
        <v>175</v>
      </c>
      <c r="B164" s="6" t="s">
        <v>38</v>
      </c>
      <c r="C164" s="6" t="s">
        <v>123</v>
      </c>
      <c r="D164" s="4" t="s">
        <v>611</v>
      </c>
      <c r="E164" s="4" t="s">
        <v>34</v>
      </c>
      <c r="F164" s="4">
        <v>2</v>
      </c>
      <c r="G164" s="4" t="s">
        <v>591</v>
      </c>
      <c r="H164" s="4" t="s">
        <v>299</v>
      </c>
      <c r="I164" s="4" t="b">
        <v>0</v>
      </c>
      <c r="K164" s="4" t="b">
        <f>IF(COUNTIF($B$2:$B164,B164)&gt;1,TRUE,FALSE)</f>
        <v>1</v>
      </c>
      <c r="L16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 hidden="1">
      <c r="A165" s="7">
        <v>176</v>
      </c>
      <c r="B165" s="6" t="s">
        <v>484</v>
      </c>
      <c r="C165" s="6" t="s">
        <v>123</v>
      </c>
      <c r="D165" s="4" t="s">
        <v>595</v>
      </c>
      <c r="E165" s="4" t="s">
        <v>595</v>
      </c>
      <c r="F165" s="4">
        <v>2</v>
      </c>
      <c r="G165" s="4" t="s">
        <v>588</v>
      </c>
      <c r="H165" s="4" t="s">
        <v>300</v>
      </c>
      <c r="I165" s="4" t="b">
        <v>1</v>
      </c>
      <c r="J165" s="4" t="s">
        <v>587</v>
      </c>
      <c r="K165" s="4" t="b">
        <f>IF(COUNTIF($B$2:$B165,B165)&gt;1,TRUE,FALSE)</f>
        <v>0</v>
      </c>
      <c r="L165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hidden="1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595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 hidden="1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604</v>
      </c>
      <c r="H167" s="4" t="s">
        <v>302</v>
      </c>
      <c r="I167" s="4" t="b">
        <v>0</v>
      </c>
      <c r="K167" s="4" t="b">
        <f>IF(COUNTIF($B$2:$B167,B167)&gt;1,TRUE,FALSE)</f>
        <v>1</v>
      </c>
      <c r="L167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 hidden="1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591</v>
      </c>
      <c r="H168" s="4" t="s">
        <v>303</v>
      </c>
      <c r="I168" s="4" t="b">
        <v>0</v>
      </c>
      <c r="K168" s="4" t="b">
        <f>IF(COUNTIF($B$2:$B168,B168)&gt;1,TRUE,FALSE)</f>
        <v>1</v>
      </c>
      <c r="L168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 hidden="1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603</v>
      </c>
      <c r="H169" s="4" t="s">
        <v>304</v>
      </c>
      <c r="I169" s="4" t="b">
        <v>0</v>
      </c>
      <c r="K169" s="4" t="b">
        <f>IF(COUNTIF($B$2:$B169,B169)&gt;1,TRUE,FALSE)</f>
        <v>1</v>
      </c>
      <c r="L169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 hidden="1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591</v>
      </c>
      <c r="H170" s="4" t="s">
        <v>305</v>
      </c>
      <c r="I170" s="4" t="b">
        <v>0</v>
      </c>
      <c r="K170" s="4" t="b">
        <f>IF(COUNTIF($B$2:$B170,B170)&gt;1,TRUE,FALSE)</f>
        <v>1</v>
      </c>
      <c r="L170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 hidden="1">
      <c r="A171" s="7">
        <v>182</v>
      </c>
      <c r="B171" s="6" t="s">
        <v>31</v>
      </c>
      <c r="C171" s="6" t="s">
        <v>123</v>
      </c>
      <c r="D171" s="4" t="s">
        <v>610</v>
      </c>
      <c r="E171" s="4" t="s">
        <v>595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 hidden="1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604</v>
      </c>
      <c r="H172" s="4" t="s">
        <v>307</v>
      </c>
      <c r="I172" s="4" t="b">
        <v>0</v>
      </c>
      <c r="K172" s="4" t="b">
        <f>IF(COUNTIF($B$2:$B172,B172)&gt;1,TRUE,FALSE)</f>
        <v>1</v>
      </c>
      <c r="L172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 hidden="1">
      <c r="A173" s="7">
        <v>184</v>
      </c>
      <c r="B173" s="6" t="s">
        <v>47</v>
      </c>
      <c r="C173" s="6" t="s">
        <v>123</v>
      </c>
      <c r="D173" s="4" t="s">
        <v>597</v>
      </c>
      <c r="E173" s="4" t="s">
        <v>597</v>
      </c>
      <c r="F173" s="4">
        <v>2</v>
      </c>
      <c r="H173" s="4" t="s">
        <v>308</v>
      </c>
      <c r="I173" s="4" t="b">
        <v>0</v>
      </c>
      <c r="K173" s="4" t="b">
        <f>IF(COUNTIF($B$2:$B173,B173)&gt;1,TRUE,FALSE)</f>
        <v>1</v>
      </c>
      <c r="L173" t="str">
        <f t="shared" si="21"/>
        <v>p["tags"].update({"dimension_group":{"type":"list_quoted","subtype":"list_quoted","indent":2,"default_value":"","docs_url":"https://looker.com/docs/r/lookml/types/dimension_group/tags?version=7.14&amp;lookml=new","has_allowed_values":False,"allowed_values":""}})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{"tags":{"dimension_group":{"type":"list_quoted","subtype":"list_quoted","indent":2,"default_value":"","docs_url":"https://looker.com/docs/r/lookml/types/dimension_group/tags?version=7.14&amp;lookml=new","has_allowed_values":False,"allowed_values":""}}}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"default_value":"",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 hidden="1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589</v>
      </c>
      <c r="K174" s="4" t="b">
        <f>IF(COUNTIF($B$2:$B174,B174)&gt;1,TRUE,FALSE)</f>
        <v>1</v>
      </c>
      <c r="L17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 hidden="1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598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 hidden="1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598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 hidden="1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591</v>
      </c>
      <c r="H177" s="4" t="s">
        <v>312</v>
      </c>
      <c r="I177" s="4" t="b">
        <v>0</v>
      </c>
      <c r="K177" s="4" t="b">
        <f>IF(COUNTIF($B$2:$B177,B177)&gt;1,TRUE,FALSE)</f>
        <v>1</v>
      </c>
      <c r="L177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 hidden="1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603</v>
      </c>
      <c r="H178" s="4" t="s">
        <v>313</v>
      </c>
      <c r="I178" s="4" t="b">
        <v>0</v>
      </c>
      <c r="K178" s="4" t="b">
        <f>IF(COUNTIF($B$2:$B178,B178)&gt;1,TRUE,FALSE)</f>
        <v>1</v>
      </c>
      <c r="L178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 hidden="1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604</v>
      </c>
      <c r="H179" s="4" t="s">
        <v>314</v>
      </c>
      <c r="I179" s="4" t="b">
        <v>0</v>
      </c>
      <c r="K179" s="4" t="b">
        <f>IF(COUNTIF($B$2:$B179,B179)&gt;1,TRUE,FALSE)</f>
        <v>1</v>
      </c>
      <c r="L179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 hidden="1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574</v>
      </c>
      <c r="H180" s="4" t="s">
        <v>315</v>
      </c>
      <c r="I180" s="4" t="b">
        <v>1</v>
      </c>
      <c r="J180" s="4" t="s">
        <v>575</v>
      </c>
      <c r="K180" s="4" t="b">
        <f>IF(COUNTIF($B$2:$B180,B180)&gt;1,TRUE,FALSE)</f>
        <v>1</v>
      </c>
      <c r="L180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 hidden="1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591</v>
      </c>
      <c r="H181" s="4" t="s">
        <v>316</v>
      </c>
      <c r="I181" s="4" t="b">
        <v>0</v>
      </c>
      <c r="K181" s="4" t="b">
        <f>IF(COUNTIF($B$2:$B181,B181)&gt;1,TRUE,FALSE)</f>
        <v>0</v>
      </c>
      <c r="L181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 hidden="1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604</v>
      </c>
      <c r="H182" s="4" t="s">
        <v>317</v>
      </c>
      <c r="I182" s="4" t="b">
        <v>0</v>
      </c>
      <c r="K182" s="4" t="b">
        <f>IF(COUNTIF($B$2:$B182,B182)&gt;1,TRUE,FALSE)</f>
        <v>1</v>
      </c>
      <c r="L182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 hidden="1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591</v>
      </c>
      <c r="H183" s="4" t="s">
        <v>318</v>
      </c>
      <c r="I183" s="4" t="b">
        <v>0</v>
      </c>
      <c r="K183" s="4" t="b">
        <f>IF(COUNTIF($B$2:$B183,B183)&gt;1,TRUE,FALSE)</f>
        <v>1</v>
      </c>
      <c r="L183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 hidden="1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591</v>
      </c>
      <c r="H184" s="4" t="s">
        <v>319</v>
      </c>
      <c r="I184" s="4" t="b">
        <v>0</v>
      </c>
      <c r="K184" s="4" t="b">
        <f>IF(COUNTIF($B$2:$B184,B184)&gt;1,TRUE,FALSE)</f>
        <v>1</v>
      </c>
      <c r="L18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 hidden="1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595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 hidden="1">
      <c r="A186" s="7">
        <v>199</v>
      </c>
      <c r="B186" s="6" t="s">
        <v>46</v>
      </c>
      <c r="C186" s="6" t="s">
        <v>124</v>
      </c>
      <c r="D186" s="4" t="s">
        <v>597</v>
      </c>
      <c r="E186" s="4" t="s">
        <v>597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 hidden="1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591</v>
      </c>
      <c r="H187" s="4" t="s">
        <v>322</v>
      </c>
      <c r="I187" s="4" t="b">
        <v>0</v>
      </c>
      <c r="K187" s="4" t="b">
        <f>IF(COUNTIF($B$2:$B187,B187)&gt;1,TRUE,FALSE)</f>
        <v>1</v>
      </c>
      <c r="L187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 hidden="1">
      <c r="A188" s="7">
        <v>201</v>
      </c>
      <c r="B188" s="6" t="s">
        <v>34</v>
      </c>
      <c r="C188" s="6" t="s">
        <v>124</v>
      </c>
      <c r="D188" s="4" t="s">
        <v>611</v>
      </c>
      <c r="E188" s="4" t="s">
        <v>34</v>
      </c>
      <c r="F188" s="4">
        <v>2</v>
      </c>
      <c r="G188" s="4" t="s">
        <v>591</v>
      </c>
      <c r="H188" s="4" t="s">
        <v>323</v>
      </c>
      <c r="I188" s="4" t="b">
        <v>0</v>
      </c>
      <c r="K188" s="4" t="b">
        <f>IF(COUNTIF($B$2:$B188,B188)&gt;1,TRUE,FALSE)</f>
        <v>1</v>
      </c>
      <c r="L188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 hidden="1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595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 hidden="1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604</v>
      </c>
      <c r="H190" s="4" t="s">
        <v>325</v>
      </c>
      <c r="I190" s="4" t="b">
        <v>0</v>
      </c>
      <c r="K190" s="4" t="b">
        <f>IF(COUNTIF($B$2:$B190,B190)&gt;1,TRUE,FALSE)</f>
        <v>1</v>
      </c>
      <c r="L190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 hidden="1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591</v>
      </c>
      <c r="H191" s="4" t="s">
        <v>326</v>
      </c>
      <c r="I191" s="4" t="b">
        <v>0</v>
      </c>
      <c r="K191" s="4" t="b">
        <f>IF(COUNTIF($B$2:$B191,B191)&gt;1,TRUE,FALSE)</f>
        <v>1</v>
      </c>
      <c r="L191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 hidden="1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603</v>
      </c>
      <c r="H192" s="4" t="s">
        <v>327</v>
      </c>
      <c r="I192" s="4" t="b">
        <v>0</v>
      </c>
      <c r="K192" s="4" t="b">
        <f>IF(COUNTIF($B$2:$B192,B192)&gt;1,TRUE,FALSE)</f>
        <v>1</v>
      </c>
      <c r="L192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 hidden="1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591</v>
      </c>
      <c r="H193" s="4" t="s">
        <v>328</v>
      </c>
      <c r="I193" s="4" t="b">
        <v>0</v>
      </c>
      <c r="K193" s="4" t="b">
        <f>IF(COUNTIF($B$2:$B193,B193)&gt;1,TRUE,FALSE)</f>
        <v>1</v>
      </c>
      <c r="L193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 hidden="1">
      <c r="A194" s="7">
        <v>207</v>
      </c>
      <c r="B194" s="6" t="s">
        <v>31</v>
      </c>
      <c r="C194" s="6" t="s">
        <v>124</v>
      </c>
      <c r="D194" s="4" t="s">
        <v>610</v>
      </c>
      <c r="E194" s="4" t="s">
        <v>595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 hidden="1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604</v>
      </c>
      <c r="H195" s="4" t="s">
        <v>330</v>
      </c>
      <c r="I195" s="4" t="b">
        <v>0</v>
      </c>
      <c r="K195" s="4" t="b">
        <f>IF(COUNTIF($B$2:$B195,B195)&gt;1,TRUE,FALSE)</f>
        <v>1</v>
      </c>
      <c r="L195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 hidden="1">
      <c r="A196" s="7">
        <v>209</v>
      </c>
      <c r="B196" s="6" t="s">
        <v>47</v>
      </c>
      <c r="C196" s="6" t="s">
        <v>124</v>
      </c>
      <c r="D196" s="4" t="s">
        <v>597</v>
      </c>
      <c r="E196" s="4" t="s">
        <v>597</v>
      </c>
      <c r="F196" s="4">
        <v>2</v>
      </c>
      <c r="H196" s="4" t="s">
        <v>331</v>
      </c>
      <c r="I196" s="4" t="b">
        <v>0</v>
      </c>
      <c r="K196" s="4" t="b">
        <f>IF(COUNTIF($B$2:$B196,B196)&gt;1,TRUE,FALSE)</f>
        <v>1</v>
      </c>
      <c r="L196" t="str">
        <f t="shared" si="30"/>
        <v>p["tags"].update({"filter":{"type":"list_quoted","subtype":"list_quoted","indent":2,"default_value":"","docs_url":"https://looker.com/docs/r/lookml/types/filter/tags?version=7.14&amp;lookml=new","has_allowed_values":False,"allowed_values":""}})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{"tags":{"filter":{"type":"list_quoted","subtype":"list_quoted","indent":2,"default_value":"","docs_url":"https://looker.com/docs/r/lookml/types/filter/tags?version=7.14&amp;lookml=new","has_allowed_values":False,"allowed_values":""}}}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"default_value":"",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 hidden="1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hidden="1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598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 hidden="1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598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 hidden="1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591</v>
      </c>
      <c r="H200" s="4" t="s">
        <v>335</v>
      </c>
      <c r="I200" s="4" t="b">
        <v>0</v>
      </c>
      <c r="K200" s="4" t="b">
        <f>IF(COUNTIF($B$2:$B200,B200)&gt;1,TRUE,FALSE)</f>
        <v>1</v>
      </c>
      <c r="L200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 hidden="1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10" t="s">
        <v>336</v>
      </c>
      <c r="I201" s="4" t="b">
        <v>0</v>
      </c>
      <c r="K201" s="4" t="b">
        <f>IF(COUNTIF($B$2:$B201,B201)&gt;1,TRUE,FALSE)</f>
        <v>0</v>
      </c>
      <c r="L201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 hidden="1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603</v>
      </c>
      <c r="H202" s="4" t="s">
        <v>337</v>
      </c>
      <c r="I202" s="4" t="b">
        <v>0</v>
      </c>
      <c r="K202" s="4" t="b">
        <f>IF(COUNTIF($B$2:$B202,B202)&gt;1,TRUE,FALSE)</f>
        <v>1</v>
      </c>
      <c r="L202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 hidden="1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591</v>
      </c>
      <c r="H203" s="4" t="s">
        <v>338</v>
      </c>
      <c r="I203" s="4" t="b">
        <v>0</v>
      </c>
      <c r="K203" s="4" t="b">
        <f>IF(COUNTIF($B$2:$B203,B203)&gt;1,TRUE,FALSE)</f>
        <v>1</v>
      </c>
      <c r="L203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 hidden="1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604</v>
      </c>
      <c r="H204" s="4" t="s">
        <v>339</v>
      </c>
      <c r="I204" s="4" t="b">
        <v>0</v>
      </c>
      <c r="K204" s="4" t="b">
        <f>IF(COUNTIF($B$2:$B204,B204)&gt;1,TRUE,FALSE)</f>
        <v>1</v>
      </c>
      <c r="L20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 hidden="1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591</v>
      </c>
      <c r="H205" s="4" t="s">
        <v>340</v>
      </c>
      <c r="I205" s="4" t="b">
        <v>0</v>
      </c>
      <c r="K205" s="4" t="b">
        <f>IF(COUNTIF($B$2:$B205,B205)&gt;1,TRUE,FALSE)</f>
        <v>1</v>
      </c>
      <c r="L205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 hidden="1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591</v>
      </c>
      <c r="H206" s="4" t="s">
        <v>341</v>
      </c>
      <c r="I206" s="4" t="b">
        <v>0</v>
      </c>
      <c r="K206" s="4" t="b">
        <f>IF(COUNTIF($B$2:$B206,B206)&gt;1,TRUE,FALSE)</f>
        <v>1</v>
      </c>
      <c r="L206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 hidden="1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595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 hidden="1">
      <c r="A208" s="7">
        <v>223</v>
      </c>
      <c r="B208" s="6" t="s">
        <v>46</v>
      </c>
      <c r="C208" s="6" t="s">
        <v>125</v>
      </c>
      <c r="D208" s="4" t="s">
        <v>597</v>
      </c>
      <c r="E208" s="4" t="s">
        <v>597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 hidden="1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591</v>
      </c>
      <c r="H209" s="4" t="s">
        <v>344</v>
      </c>
      <c r="I209" s="4" t="b">
        <v>0</v>
      </c>
      <c r="K209" s="4" t="b">
        <f>IF(COUNTIF($B$2:$B209,B209)&gt;1,TRUE,FALSE)</f>
        <v>1</v>
      </c>
      <c r="L209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 hidden="1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595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 hidden="1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604</v>
      </c>
      <c r="H211" s="4" t="s">
        <v>346</v>
      </c>
      <c r="I211" s="4" t="b">
        <v>0</v>
      </c>
      <c r="K211" s="4" t="b">
        <f>IF(COUNTIF($B$2:$B211,B211)&gt;1,TRUE,FALSE)</f>
        <v>1</v>
      </c>
      <c r="L211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 hidden="1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591</v>
      </c>
      <c r="H212" s="4" t="s">
        <v>347</v>
      </c>
      <c r="I212" s="4" t="b">
        <v>0</v>
      </c>
      <c r="K212" s="4" t="b">
        <f>IF(COUNTIF($B$2:$B212,B212)&gt;1,TRUE,FALSE)</f>
        <v>1</v>
      </c>
      <c r="L212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 hidden="1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603</v>
      </c>
      <c r="H213" s="4" t="s">
        <v>348</v>
      </c>
      <c r="I213" s="4" t="b">
        <v>0</v>
      </c>
      <c r="K213" s="4" t="b">
        <f>IF(COUNTIF($B$2:$B213,B213)&gt;1,TRUE,FALSE)</f>
        <v>1</v>
      </c>
      <c r="L213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 hidden="1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591</v>
      </c>
      <c r="H214" s="4" t="s">
        <v>349</v>
      </c>
      <c r="I214" s="4" t="b">
        <v>0</v>
      </c>
      <c r="K214" s="4" t="b">
        <f>IF(COUNTIF($B$2:$B214,B214)&gt;1,TRUE,FALSE)</f>
        <v>1</v>
      </c>
      <c r="L2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 hidden="1">
      <c r="A215" s="7">
        <v>230</v>
      </c>
      <c r="B215" s="6" t="s">
        <v>31</v>
      </c>
      <c r="C215" s="6" t="s">
        <v>125</v>
      </c>
      <c r="D215" s="4" t="s">
        <v>610</v>
      </c>
      <c r="E215" s="4" t="s">
        <v>595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 hidden="1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604</v>
      </c>
      <c r="H216" s="4" t="s">
        <v>351</v>
      </c>
      <c r="I216" s="4" t="b">
        <v>0</v>
      </c>
      <c r="K216" s="4" t="b">
        <f>IF(COUNTIF($B$2:$B216,B216)&gt;1,TRUE,FALSE)</f>
        <v>1</v>
      </c>
      <c r="L216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 hidden="1">
      <c r="A217" s="7">
        <v>232</v>
      </c>
      <c r="B217" s="6" t="s">
        <v>47</v>
      </c>
      <c r="C217" s="6" t="s">
        <v>125</v>
      </c>
      <c r="D217" s="4" t="s">
        <v>597</v>
      </c>
      <c r="E217" s="4" t="s">
        <v>597</v>
      </c>
      <c r="F217" s="4">
        <v>2</v>
      </c>
      <c r="H217" s="4" t="s">
        <v>352</v>
      </c>
      <c r="I217" s="4" t="b">
        <v>0</v>
      </c>
      <c r="K217" s="4" t="b">
        <f>IF(COUNTIF($B$2:$B217,B217)&gt;1,TRUE,FALSE)</f>
        <v>1</v>
      </c>
      <c r="L217" t="str">
        <f t="shared" si="30"/>
        <v>p["tags"].update({"parameter":{"type":"list_quoted","subtype":"list_quoted","indent":2,"default_value":"","docs_url":"https://looker.com/docs/r/lookml/types/parameter/tags?version=7.14&amp;lookml=new","has_allowed_values":False,"allowed_values":""}})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{"tags":{"parameter":{"type":"list_quoted","subtype":"list_quoted","indent":2,"default_value":"","docs_url":"https://looker.com/docs/r/lookml/types/parameter/tags?version=7.14&amp;lookml=new","has_allowed_values":False,"allowed_values":""}}}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"default_value":"",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 hidden="1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590</v>
      </c>
      <c r="K218" s="4" t="b">
        <f>IF(COUNTIF($B$2:$B218,B218)&gt;1,TRUE,FALSE)</f>
        <v>1</v>
      </c>
      <c r="L218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 hidden="1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598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 hidden="1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598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 hidden="1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591</v>
      </c>
      <c r="H221" s="4" t="s">
        <v>356</v>
      </c>
      <c r="I221" s="4" t="b">
        <v>0</v>
      </c>
      <c r="K221" s="4" t="b">
        <f>IF(COUNTIF($B$2:$B221,B221)&gt;1,TRUE,FALSE)</f>
        <v>1</v>
      </c>
      <c r="L221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 hidden="1">
      <c r="A222" s="7">
        <v>239</v>
      </c>
      <c r="B222" s="6" t="s">
        <v>66</v>
      </c>
      <c r="C222" s="6" t="s">
        <v>70</v>
      </c>
      <c r="D222" s="4" t="s">
        <v>597</v>
      </c>
      <c r="E222" s="4" t="s">
        <v>597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 hidden="1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 hidden="1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598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 hidden="1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591</v>
      </c>
      <c r="H225" s="4" t="s">
        <v>360</v>
      </c>
      <c r="I225" s="4" t="b">
        <v>0</v>
      </c>
      <c r="K225" s="4" t="b">
        <f>IF(COUNTIF($B$2:$B225,B225)&gt;1,TRUE,FALSE)</f>
        <v>0</v>
      </c>
      <c r="L225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 hidden="1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 hidden="1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608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 hidden="1">
      <c r="A228" s="7">
        <v>245</v>
      </c>
      <c r="B228" s="6" t="s">
        <v>74</v>
      </c>
      <c r="C228" s="6" t="s">
        <v>70</v>
      </c>
      <c r="D228" s="4" t="s">
        <v>597</v>
      </c>
      <c r="E228" s="4" t="s">
        <v>597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 hidden="1">
      <c r="A229" s="7">
        <v>246</v>
      </c>
      <c r="B229" s="6" t="s">
        <v>75</v>
      </c>
      <c r="C229" s="6" t="s">
        <v>70</v>
      </c>
      <c r="D229" s="4" t="s">
        <v>597</v>
      </c>
      <c r="E229" s="4" t="s">
        <v>597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 hidden="1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591</v>
      </c>
      <c r="H230" s="4" t="s">
        <v>365</v>
      </c>
      <c r="I230" s="4" t="b">
        <v>0</v>
      </c>
      <c r="K230" s="4" t="b">
        <f>IF(COUNTIF($B$2:$B230,B230)&gt;1,TRUE,FALSE)</f>
        <v>1</v>
      </c>
      <c r="L230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 hidden="1">
      <c r="A231" s="7">
        <v>248</v>
      </c>
      <c r="B231" s="6" t="s">
        <v>78</v>
      </c>
      <c r="C231" s="6" t="s">
        <v>70</v>
      </c>
      <c r="D231" s="4" t="s">
        <v>597</v>
      </c>
      <c r="E231" s="4" t="s">
        <v>597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 hidden="1">
      <c r="A232" s="7">
        <v>249</v>
      </c>
      <c r="B232" s="6" t="s">
        <v>34</v>
      </c>
      <c r="C232" s="6" t="s">
        <v>70</v>
      </c>
      <c r="D232" s="4" t="s">
        <v>611</v>
      </c>
      <c r="E232" s="4" t="s">
        <v>34</v>
      </c>
      <c r="F232" s="4">
        <v>3</v>
      </c>
      <c r="G232" s="4" t="s">
        <v>591</v>
      </c>
      <c r="H232" s="4" t="s">
        <v>367</v>
      </c>
      <c r="I232" s="4" t="b">
        <v>0</v>
      </c>
      <c r="K232" s="4" t="b">
        <f>IF(COUNTIF($B$2:$B232,B232)&gt;1,TRUE,FALSE)</f>
        <v>1</v>
      </c>
      <c r="L232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 hidden="1">
      <c r="A233" s="7">
        <v>250</v>
      </c>
      <c r="B233" s="6" t="s">
        <v>79</v>
      </c>
      <c r="C233" s="6" t="s">
        <v>70</v>
      </c>
      <c r="D233" s="4" t="s">
        <v>611</v>
      </c>
      <c r="E233" s="4" t="s">
        <v>34</v>
      </c>
      <c r="F233" s="4">
        <v>3</v>
      </c>
      <c r="G233" s="4" t="s">
        <v>591</v>
      </c>
      <c r="H233" s="4" t="s">
        <v>368</v>
      </c>
      <c r="I233" s="4" t="b">
        <v>0</v>
      </c>
      <c r="K233" s="4" t="b">
        <f>IF(COUNTIF($B$2:$B233,B233)&gt;1,TRUE,FALSE)</f>
        <v>0</v>
      </c>
      <c r="L233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 hidden="1">
      <c r="A234" s="7">
        <v>251</v>
      </c>
      <c r="B234" s="6" t="s">
        <v>80</v>
      </c>
      <c r="C234" s="6" t="s">
        <v>70</v>
      </c>
      <c r="D234" s="4" t="s">
        <v>611</v>
      </c>
      <c r="E234" s="4" t="s">
        <v>34</v>
      </c>
      <c r="F234" s="4">
        <v>3</v>
      </c>
      <c r="G234" s="4" t="s">
        <v>591</v>
      </c>
      <c r="H234" s="4" t="s">
        <v>369</v>
      </c>
      <c r="I234" s="4" t="b">
        <v>0</v>
      </c>
      <c r="K234" s="4" t="b">
        <f>IF(COUNTIF($B$2:$B234,B234)&gt;1,TRUE,FALSE)</f>
        <v>0</v>
      </c>
      <c r="L23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 hidden="1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 hidden="1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 hidden="1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603</v>
      </c>
      <c r="H237" s="4" t="s">
        <v>372</v>
      </c>
      <c r="I237" s="4" t="b">
        <v>0</v>
      </c>
      <c r="K237" s="4" t="b">
        <f>IF(COUNTIF($B$2:$B237,B237)&gt;1,TRUE,FALSE)</f>
        <v>0</v>
      </c>
      <c r="L237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 hidden="1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596</v>
      </c>
      <c r="F238" s="4">
        <v>4</v>
      </c>
      <c r="G238" s="4" t="s">
        <v>591</v>
      </c>
      <c r="H238" s="4" t="s">
        <v>373</v>
      </c>
      <c r="I238" s="4" t="b">
        <v>0</v>
      </c>
      <c r="K238" s="4" t="b">
        <f>IF(COUNTIF($B$2:$B238,B238)&gt;1,TRUE,FALSE)</f>
        <v>0</v>
      </c>
      <c r="L238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 hidden="1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 hidden="1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598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 hidden="1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592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 hidden="1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592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 hidden="1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603</v>
      </c>
      <c r="H243" s="4" t="s">
        <v>378</v>
      </c>
      <c r="I243" s="4" t="b">
        <v>0</v>
      </c>
      <c r="K243" s="4" t="b">
        <f>IF(COUNTIF($B$2:$B243,B243)&gt;1,TRUE,FALSE)</f>
        <v>0</v>
      </c>
      <c r="L243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 hidden="1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 hidden="1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 hidden="1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 hidden="1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595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 hidden="1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598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 hidden="1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598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 hidden="1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603</v>
      </c>
      <c r="H250" s="4" t="s">
        <v>385</v>
      </c>
      <c r="I250" s="4" t="b">
        <v>0</v>
      </c>
      <c r="K250" s="4" t="b">
        <f>IF(COUNTIF($B$2:$B250,B250)&gt;1,TRUE,FALSE)</f>
        <v>0</v>
      </c>
      <c r="L250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 hidden="1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601</v>
      </c>
      <c r="H251" s="4" t="s">
        <v>386</v>
      </c>
      <c r="I251" s="4" t="b">
        <v>1</v>
      </c>
      <c r="J251" s="4" t="s">
        <v>602</v>
      </c>
      <c r="K251" s="4" t="b">
        <f>IF(COUNTIF($B$2:$B251,B251)&gt;1,TRUE,FALSE)</f>
        <v>0</v>
      </c>
      <c r="L251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 hidden="1">
      <c r="A252" s="7">
        <v>273</v>
      </c>
      <c r="B252" s="6" t="s">
        <v>31</v>
      </c>
      <c r="C252" s="6" t="s">
        <v>96</v>
      </c>
      <c r="D252" s="4" t="s">
        <v>610</v>
      </c>
      <c r="E252" s="4" t="s">
        <v>595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 hidden="1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595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 hidden="1">
      <c r="A254" s="7">
        <v>275</v>
      </c>
      <c r="B254" s="6" t="s">
        <v>34</v>
      </c>
      <c r="C254" s="6" t="s">
        <v>96</v>
      </c>
      <c r="D254" s="4" t="s">
        <v>611</v>
      </c>
      <c r="E254" s="4" t="s">
        <v>34</v>
      </c>
      <c r="F254" s="4">
        <v>3</v>
      </c>
      <c r="G254" s="4" t="s">
        <v>591</v>
      </c>
      <c r="H254" s="4" t="s">
        <v>389</v>
      </c>
      <c r="I254" s="4" t="b">
        <v>0</v>
      </c>
      <c r="K254" s="4" t="b">
        <f>IF(COUNTIF($B$2:$B254,B254)&gt;1,TRUE,FALSE)</f>
        <v>1</v>
      </c>
      <c r="L25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 hidden="1">
      <c r="A255" s="7">
        <v>276</v>
      </c>
      <c r="B255" s="6" t="s">
        <v>107</v>
      </c>
      <c r="C255" s="6" t="s">
        <v>96</v>
      </c>
      <c r="D255" s="4" t="s">
        <v>611</v>
      </c>
      <c r="E255" s="4" t="s">
        <v>34</v>
      </c>
      <c r="F255" s="4">
        <v>3</v>
      </c>
      <c r="G255" s="4" t="s">
        <v>591</v>
      </c>
      <c r="H255" s="4" t="s">
        <v>390</v>
      </c>
      <c r="I255" s="4" t="b">
        <v>0</v>
      </c>
      <c r="K255" s="4" t="b">
        <f>IF(COUNTIF($B$2:$B255,B255)&gt;1,TRUE,FALSE)</f>
        <v>0</v>
      </c>
      <c r="L255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 hidden="1">
      <c r="A256" s="7">
        <v>277</v>
      </c>
      <c r="B256" s="6" t="s">
        <v>108</v>
      </c>
      <c r="C256" s="6" t="s">
        <v>96</v>
      </c>
      <c r="D256" s="4" t="s">
        <v>611</v>
      </c>
      <c r="E256" s="4" t="s">
        <v>34</v>
      </c>
      <c r="F256" s="4">
        <v>3</v>
      </c>
      <c r="G256" s="4" t="s">
        <v>591</v>
      </c>
      <c r="H256" s="4" t="s">
        <v>391</v>
      </c>
      <c r="I256" s="4" t="b">
        <v>0</v>
      </c>
      <c r="K256" s="4" t="b">
        <f>IF(COUNTIF($B$2:$B256,B256)&gt;1,TRUE,FALSE)</f>
        <v>0</v>
      </c>
      <c r="L256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 hidden="1">
      <c r="A257" s="7">
        <v>278</v>
      </c>
      <c r="B257" s="6" t="s">
        <v>100</v>
      </c>
      <c r="C257" s="6" t="s">
        <v>96</v>
      </c>
      <c r="D257" s="4" t="s">
        <v>611</v>
      </c>
      <c r="E257" s="4" t="s">
        <v>34</v>
      </c>
      <c r="F257" s="4">
        <v>3</v>
      </c>
      <c r="G257" s="4" t="s">
        <v>591</v>
      </c>
      <c r="H257" s="4" t="s">
        <v>392</v>
      </c>
      <c r="I257" s="4" t="b">
        <v>0</v>
      </c>
      <c r="K257" s="4" t="b">
        <f>IF(COUNTIF($B$2:$B257,B257)&gt;1,TRUE,FALSE)</f>
        <v>1</v>
      </c>
      <c r="L257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 hidden="1">
      <c r="A258" s="7">
        <v>279</v>
      </c>
      <c r="B258" s="6" t="s">
        <v>109</v>
      </c>
      <c r="C258" s="6" t="s">
        <v>96</v>
      </c>
      <c r="D258" s="4" t="s">
        <v>611</v>
      </c>
      <c r="E258" s="4" t="s">
        <v>34</v>
      </c>
      <c r="F258" s="4">
        <v>3</v>
      </c>
      <c r="G258" s="4" t="s">
        <v>591</v>
      </c>
      <c r="H258" s="4" t="s">
        <v>393</v>
      </c>
      <c r="I258" s="4" t="b">
        <v>0</v>
      </c>
      <c r="K258" s="4" t="b">
        <f>IF(COUNTIF($B$2:$B258,B258)&gt;1,TRUE,FALSE)</f>
        <v>0</v>
      </c>
      <c r="L258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 hidden="1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 hidden="1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591</v>
      </c>
      <c r="H260" s="4" t="s">
        <v>395</v>
      </c>
      <c r="I260" s="4" t="b">
        <v>0</v>
      </c>
      <c r="K260" s="4" t="b">
        <f>IF(COUNTIF($B$2:$B260,B260)&gt;1,TRUE,FALSE)</f>
        <v>1</v>
      </c>
      <c r="L260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 hidden="1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2</v>
      </c>
      <c r="H261" s="4" t="s">
        <v>396</v>
      </c>
      <c r="I261" s="4" t="b">
        <v>0</v>
      </c>
      <c r="K261" s="4" t="b">
        <f>IF(COUNTIF($B$2:$B261,B261)&gt;1,TRUE,FALSE)</f>
        <v>0</v>
      </c>
      <c r="L261" t="str">
        <f t="shared" si="39"/>
        <v>p.update({"query":{"aggregate_table":{"type":"anonymous_construct","subtype":"anonymous_construct","indent":2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{"query":{"aggregate_table":{"type":"anonymous_construct","subtype":"anonymous_construct","indent":2,"default_value":"","docs_url":"https://looker.com/docs/r/lookml/types/aggregate_table/query?version=7.14&amp;lookml=new","has_allowed_values":False,"allowed_values":""}}}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"indent":2,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 hidden="1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2</v>
      </c>
      <c r="H262" s="4" t="s">
        <v>397</v>
      </c>
      <c r="I262" s="4" t="b">
        <v>0</v>
      </c>
      <c r="K262" s="4" t="b">
        <f>IF(COUNTIF($B$2:$B262,B262)&gt;1,TRUE,FALSE)</f>
        <v>0</v>
      </c>
      <c r="L262" t="str">
        <f t="shared" si="39"/>
        <v>p.update(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"indent":2,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 hidden="1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595</v>
      </c>
      <c r="F263" s="4">
        <v>3</v>
      </c>
      <c r="H263" s="4" t="s">
        <v>398</v>
      </c>
      <c r="I263" s="4" t="b">
        <v>0</v>
      </c>
      <c r="K263" s="4" t="b">
        <f>IF(COUNTIF($B$2:$B263,B263)&gt;1,TRUE,FALSE)</f>
        <v>0</v>
      </c>
      <c r="L263" t="str">
        <f t="shared" si="39"/>
        <v>p.update({"dimensions":{"query":{"type":"list_unquoted","subtype":"field-ref","indent":3,"default_value":"","docs_url":"https://looker.com/docs/r/lookml/types/query/dimensions?version=7.14&amp;lookml=new","has_allowed_values":False,"allowed_values":""}}})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{"dimensions":{"query":{"type":"list_unquoted","subtype":"field-ref","indent":3,"default_value":"","docs_url":"https://looker.com/docs/r/lookml/types/query/dimensions?version=7.14&amp;lookml=new","has_allowed_values":False,"allowed_values":""}}}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"indent":3,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 hidden="1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595</v>
      </c>
      <c r="F264" s="4">
        <v>3</v>
      </c>
      <c r="H264" s="4" t="s">
        <v>399</v>
      </c>
      <c r="I264" s="4" t="b">
        <v>0</v>
      </c>
      <c r="K264" s="4" t="b">
        <f>IF(COUNTIF($B$2:$B264,B264)&gt;1,TRUE,FALSE)</f>
        <v>0</v>
      </c>
      <c r="L264" t="str">
        <f t="shared" si="39"/>
        <v>p.update({"measures":{"query":{"type":"list_unquoted","subtype":"field-ref","indent":3,"default_value":"","docs_url":"https://looker.com/docs/r/lookml/types/query/measures?version=7.14&amp;lookml=new","has_allowed_values":False,"allowed_values":""}}})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{"measures":{"query":{"type":"list_unquoted","subtype":"field-ref","indent":3,"default_value":"","docs_url":"https://looker.com/docs/r/lookml/types/query/measures?version=7.14&amp;lookml=new","has_allowed_values":False,"allowed_values":""}}}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"indent":3,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 hidden="1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3</v>
      </c>
      <c r="G265" s="4" t="s">
        <v>591</v>
      </c>
      <c r="H265" s="4" t="s">
        <v>400</v>
      </c>
      <c r="I265" s="4" t="b">
        <v>0</v>
      </c>
      <c r="K265" s="4" t="b">
        <f>IF(COUNTIF($B$2:$B265,B265)&gt;1,TRUE,FALSE)</f>
        <v>1</v>
      </c>
      <c r="L265" t="str">
        <f t="shared" si="39"/>
        <v>p["description"].update({"query":{"type":"string","subtype":"possibly-localized-string","indent":3,"default_value":"","docs_url":"https://looker.com/docs/r/lookml/types/query/description?version=7.14&amp;lookml=new","has_allowed_values":False,"allowed_values":""}})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{"description":{"query":{"type":"string","subtype":"possibly-localized-string","indent":3,"default_value":"","docs_url":"https://looker.com/docs/r/lookml/types/query/description?version=7.14&amp;lookml=new","has_allowed_values":False,"allowed_values":""}}}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"indent":3,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 hidden="1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3</v>
      </c>
      <c r="G266" s="4" t="s">
        <v>591</v>
      </c>
      <c r="H266" s="4" t="s">
        <v>401</v>
      </c>
      <c r="I266" s="4" t="b">
        <v>0</v>
      </c>
      <c r="K266" s="4" t="b">
        <f>IF(COUNTIF($B$2:$B266,B266)&gt;1,TRUE,FALSE)</f>
        <v>1</v>
      </c>
      <c r="L266" t="str">
        <f t="shared" si="39"/>
        <v>p["group_label"].update({"query":{"type":"string","subtype":"possibly-localized-string","indent":3,"default_value":"","docs_url":"https://looker.com/docs/r/lookml/types/query/group_label?version=7.14&amp;lookml=new","has_allowed_values":False,"allowed_values":""}})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{"group_label":{"query":{"type":"string","subtype":"possibly-localized-string","indent":3,"default_value":"","docs_url":"https://looker.com/docs/r/lookml/types/query/group_label?version=7.14&amp;lookml=new","has_allowed_values":False,"allowed_values":""}}}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"indent":3,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 hidden="1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3</v>
      </c>
      <c r="H267" s="4" t="s">
        <v>402</v>
      </c>
      <c r="I267" s="4" t="b">
        <v>0</v>
      </c>
      <c r="K267" s="4" t="b">
        <f>IF(COUNTIF($B$2:$B267,B267)&gt;1,TRUE,FALSE)</f>
        <v>1</v>
      </c>
      <c r="L267" t="str">
        <f t="shared" si="39"/>
        <v>p["filters"].update({"query":{"type":"filters","subtype":"identifier","indent":3,"default_value":"","docs_url":"https://looker.com/docs/r/lookml/types/query/filters?version=7.14&amp;lookml=new","has_allowed_values":False,"allowed_values":""}})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{"filters":{"query":{"type":"filters","subtype":"identifier","indent":3,"default_value":"","docs_url":"https://looker.com/docs/r/lookml/types/query/filters?version=7.14&amp;lookml=new","has_allowed_values":False,"allowed_values":""}}}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"indent":3,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 hidden="1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598</v>
      </c>
      <c r="F268" s="4">
        <v>3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t="str">
        <f t="shared" si="39"/>
        <v>p["limit"].update({"query":{"type":"string_unquoted","subtype":"number","indent":3,"default_value":"5000","docs_url":"https://looker.com/docs/r/lookml/types/query/limit?version=7.14&amp;lookml=new","has_allowed_values":False,"allowed_values":""}})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{"limit":{"query":{"type":"string_unquoted","subtype":"number","indent":3,"default_value":"5000","docs_url":"https://looker.com/docs/r/lookml/types/query/limit?version=7.14&amp;lookml=new","has_allowed_values":False,"allowed_values":""}}}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"indent":3,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 hidden="1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3</v>
      </c>
      <c r="H269" s="4" t="s">
        <v>404</v>
      </c>
      <c r="I269" s="4" t="b">
        <v>0</v>
      </c>
      <c r="K269" s="4" t="b">
        <f>IF(COUNTIF($B$2:$B269,B269)&gt;1,TRUE,FALSE)</f>
        <v>1</v>
      </c>
      <c r="L269" t="str">
        <f t="shared" si="39"/>
        <v>p["sorts"].update({"query":{"type":"sorts","subtype":"field-ref-to-sort-map","indent":3,"default_value":"","docs_url":"https://looker.com/docs/r/lookml/types/query/sorts?version=7.14&amp;lookml=new","has_allowed_values":False,"allowed_values":""}})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{"sorts":{"query":{"type":"sorts","subtype":"field-ref-to-sort-map","indent":3,"default_value":"","docs_url":"https://looker.com/docs/r/lookml/types/query/sorts?version=7.14&amp;lookml=new","has_allowed_values":False,"allowed_values":""}}}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"indent":3,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 hidden="1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3</v>
      </c>
      <c r="G270" s="4" t="s">
        <v>591</v>
      </c>
      <c r="H270" s="4" t="s">
        <v>405</v>
      </c>
      <c r="I270" s="4" t="b">
        <v>0</v>
      </c>
      <c r="K270" s="4" t="b">
        <f>IF(COUNTIF($B$2:$B270,B270)&gt;1,TRUE,FALSE)</f>
        <v>1</v>
      </c>
      <c r="L270" t="str">
        <f t="shared" si="39"/>
        <v>p["label"].update({"query":{"type":"string","subtype":"possibly-localized-string","indent":3,"default_value":"","docs_url":"https://looker.com/docs/r/lookml/types/query/label?version=7.14&amp;lookml=new","has_allowed_values":False,"allowed_values":""}})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{"label":{"query":{"type":"string","subtype":"possibly-localized-string","indent":3,"default_value":"","docs_url":"https://looker.com/docs/r/lookml/types/query/label?version=7.14&amp;lookml=new","has_allowed_values":False,"allowed_values":""}}}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"indent":3,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 hidden="1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595</v>
      </c>
      <c r="F271" s="4">
        <v>3</v>
      </c>
      <c r="H271" s="4" t="s">
        <v>406</v>
      </c>
      <c r="I271" s="4" t="b">
        <v>0</v>
      </c>
      <c r="K271" s="4" t="b">
        <f>IF(COUNTIF($B$2:$B271,B271)&gt;1,TRUE,FALSE)</f>
        <v>0</v>
      </c>
      <c r="L271" t="str">
        <f t="shared" si="39"/>
        <v>p.update({"pivots":{"query":{"type":"list_unquoted","subtype":"field-ref","indent":3,"default_value":"","docs_url":"https://looker.com/docs/r/lookml/types/query/pivots?version=7.14&amp;lookml=new","has_allowed_values":False,"allowed_values":""}}})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{"pivots":{"query":{"type":"list_unquoted","subtype":"field-ref","indent":3,"default_value":"","docs_url":"https://looker.com/docs/r/lookml/types/query/pivots?version=7.14&amp;lookml=new","has_allowed_values":False,"allowed_values":""}}}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"indent":3,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 hidden="1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3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t="str">
        <f t="shared" si="39"/>
        <v>p["timezone"].update(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"indent":3,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hidden="1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591</v>
      </c>
      <c r="H273" s="4" t="s">
        <v>408</v>
      </c>
      <c r="I273" s="4" t="b">
        <v>0</v>
      </c>
      <c r="K273" s="4" t="b">
        <f>IF(COUNTIF($B$2:$B273,B273)&gt;1,TRUE,FALSE)</f>
        <v>1</v>
      </c>
      <c r="L273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 hidden="1">
      <c r="A274" s="7">
        <v>301</v>
      </c>
      <c r="B274" s="6" t="s">
        <v>80</v>
      </c>
      <c r="C274" s="6" t="s">
        <v>113</v>
      </c>
      <c r="D274" s="4" t="s">
        <v>611</v>
      </c>
      <c r="E274" s="4" t="s">
        <v>34</v>
      </c>
      <c r="F274" s="4">
        <v>3</v>
      </c>
      <c r="G274" s="4" t="s">
        <v>591</v>
      </c>
      <c r="H274" s="4" t="s">
        <v>409</v>
      </c>
      <c r="I274" s="4" t="b">
        <v>0</v>
      </c>
      <c r="K274" s="4" t="b">
        <f>IF(COUNTIF($B$2:$B274,B274)&gt;1,TRUE,FALSE)</f>
        <v>1</v>
      </c>
      <c r="L27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 hidden="1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598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 hidden="1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592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 hidden="1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591</v>
      </c>
      <c r="H277" s="4" t="s">
        <v>411</v>
      </c>
      <c r="I277" s="4" t="b">
        <v>0</v>
      </c>
      <c r="K277" s="4" t="b">
        <f>IF(COUNTIF($B$2:$B277,B277)&gt;1,TRUE,FALSE)</f>
        <v>1</v>
      </c>
      <c r="L277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 hidden="1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591</v>
      </c>
      <c r="H278" s="4" t="s">
        <v>412</v>
      </c>
      <c r="I278" s="4" t="b">
        <v>0</v>
      </c>
      <c r="K278" s="4" t="b">
        <f>IF(COUNTIF($B$2:$B278,B278)&gt;1,TRUE,FALSE)</f>
        <v>0</v>
      </c>
      <c r="L278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 hidden="1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591</v>
      </c>
      <c r="H279" s="4" t="s">
        <v>413</v>
      </c>
      <c r="I279" s="4" t="b">
        <v>0</v>
      </c>
      <c r="K279" s="4" t="b">
        <f>IF(COUNTIF($B$2:$B279,B279)&gt;1,TRUE,FALSE)</f>
        <v>0</v>
      </c>
      <c r="L279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 hidden="1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 hidden="1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603</v>
      </c>
      <c r="H281" s="4" t="s">
        <v>415</v>
      </c>
      <c r="I281" s="4" t="b">
        <v>0</v>
      </c>
      <c r="K281" s="4" t="b">
        <f>IF(COUNTIF($B$2:$B281,B281)&gt;1,TRUE,FALSE)</f>
        <v>0</v>
      </c>
      <c r="L281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 hidden="1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603</v>
      </c>
      <c r="H282" s="4" t="s">
        <v>416</v>
      </c>
      <c r="I282" s="4" t="b">
        <v>0</v>
      </c>
      <c r="K282" s="4" t="b">
        <f>IF(COUNTIF($B$2:$B282,B282)&gt;1,TRUE,FALSE)</f>
        <v>0</v>
      </c>
      <c r="L282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 hidden="1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603</v>
      </c>
      <c r="H283" s="4" t="s">
        <v>417</v>
      </c>
      <c r="I283" s="4" t="b">
        <v>0</v>
      </c>
      <c r="K283" s="4" t="b">
        <f>IF(COUNTIF($B$2:$B283,B283)&gt;1,TRUE,FALSE)</f>
        <v>0</v>
      </c>
      <c r="L283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 hidden="1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603</v>
      </c>
      <c r="H284" s="4" t="s">
        <v>418</v>
      </c>
      <c r="I284" s="4" t="b">
        <v>0</v>
      </c>
      <c r="K284" s="4" t="b">
        <f>IF(COUNTIF($B$2:$B284,B284)&gt;1,TRUE,FALSE)</f>
        <v>0</v>
      </c>
      <c r="L28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 hidden="1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603</v>
      </c>
      <c r="H285" s="4" t="s">
        <v>419</v>
      </c>
      <c r="I285" s="4" t="b">
        <v>0</v>
      </c>
      <c r="K285" s="4" t="b">
        <f>IF(COUNTIF($B$2:$B285,B285)&gt;1,TRUE,FALSE)</f>
        <v>0</v>
      </c>
      <c r="L285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 hidden="1">
      <c r="A286" s="7">
        <v>316</v>
      </c>
      <c r="B286" s="6" t="s">
        <v>501</v>
      </c>
      <c r="C286" s="6" t="s">
        <v>115</v>
      </c>
      <c r="D286" s="4" t="s">
        <v>597</v>
      </c>
      <c r="E286" s="4" t="s">
        <v>597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 hidden="1">
      <c r="A287" s="7">
        <v>317</v>
      </c>
      <c r="B287" s="6" t="s">
        <v>502</v>
      </c>
      <c r="C287" s="6" t="s">
        <v>115</v>
      </c>
      <c r="D287" s="4" t="s">
        <v>597</v>
      </c>
      <c r="E287" s="4" t="s">
        <v>597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 hidden="1">
      <c r="A288" s="7">
        <v>318</v>
      </c>
      <c r="B288" s="6" t="s">
        <v>503</v>
      </c>
      <c r="C288" s="6" t="s">
        <v>115</v>
      </c>
      <c r="D288" s="4" t="s">
        <v>597</v>
      </c>
      <c r="E288" s="4" t="s">
        <v>597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 hidden="1">
      <c r="A289" s="7">
        <v>319</v>
      </c>
      <c r="B289" s="6" t="s">
        <v>504</v>
      </c>
      <c r="C289" s="6" t="s">
        <v>115</v>
      </c>
      <c r="D289" s="4" t="s">
        <v>597</v>
      </c>
      <c r="E289" s="4" t="s">
        <v>597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 hidden="1">
      <c r="A290" s="7">
        <v>320</v>
      </c>
      <c r="B290" s="6" t="s">
        <v>505</v>
      </c>
      <c r="C290" s="6" t="s">
        <v>115</v>
      </c>
      <c r="D290" s="4" t="s">
        <v>597</v>
      </c>
      <c r="E290" s="4" t="s">
        <v>597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 hidden="1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591</v>
      </c>
      <c r="H291" s="4" t="s">
        <v>425</v>
      </c>
      <c r="I291" s="4" t="b">
        <v>0</v>
      </c>
      <c r="K291" s="4" t="b">
        <f>IF(COUNTIF($B$2:$B291,B291)&gt;1,TRUE,FALSE)</f>
        <v>0</v>
      </c>
      <c r="L291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 hidden="1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591</v>
      </c>
      <c r="H292" s="4" t="s">
        <v>426</v>
      </c>
      <c r="I292" s="4" t="b">
        <v>0</v>
      </c>
      <c r="K292" s="4" t="b">
        <f>IF(COUNTIF($B$2:$B292,B292)&gt;1,TRUE,FALSE)</f>
        <v>1</v>
      </c>
      <c r="L292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 hidden="1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591</v>
      </c>
      <c r="H293" s="4" t="s">
        <v>427</v>
      </c>
      <c r="I293" s="4" t="b">
        <v>0</v>
      </c>
      <c r="K293" s="4" t="b">
        <f>IF(COUNTIF($B$2:$B293,B293)&gt;1,TRUE,FALSE)</f>
        <v>1</v>
      </c>
      <c r="L293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 hidden="1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591</v>
      </c>
      <c r="H294" s="4" t="s">
        <v>428</v>
      </c>
      <c r="I294" s="4" t="b">
        <v>0</v>
      </c>
      <c r="K294" s="4" t="b">
        <f>IF(COUNTIF($B$2:$B294,B294)&gt;1,TRUE,FALSE)</f>
        <v>0</v>
      </c>
      <c r="L29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 hidden="1">
      <c r="A295" s="7">
        <v>327</v>
      </c>
      <c r="B295" s="6" t="s">
        <v>508</v>
      </c>
      <c r="C295" s="6" t="s">
        <v>127</v>
      </c>
      <c r="D295" s="4" t="s">
        <v>597</v>
      </c>
      <c r="E295" s="4" t="s">
        <v>597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 hidden="1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591</v>
      </c>
      <c r="H296" s="4" t="s">
        <v>430</v>
      </c>
      <c r="I296" s="4" t="b">
        <v>0</v>
      </c>
      <c r="K296" s="4" t="b">
        <f>IF(COUNTIF($B$2:$B296,B296)&gt;1,TRUE,FALSE)</f>
        <v>1</v>
      </c>
      <c r="L296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 hidden="1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591</v>
      </c>
      <c r="H297" s="4" t="s">
        <v>431</v>
      </c>
      <c r="I297" s="4" t="b">
        <v>0</v>
      </c>
      <c r="K297" s="4" t="b">
        <f>IF(COUNTIF($B$2:$B297,B297)&gt;1,TRUE,FALSE)</f>
        <v>1</v>
      </c>
      <c r="L297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 hidden="1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591</v>
      </c>
      <c r="H298" s="4" t="s">
        <v>432</v>
      </c>
      <c r="I298" s="4" t="b">
        <v>0</v>
      </c>
      <c r="K298" s="4" t="b">
        <f>IF(COUNTIF($B$2:$B298,B298)&gt;1,TRUE,FALSE)</f>
        <v>1</v>
      </c>
      <c r="L298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 hidden="1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591</v>
      </c>
      <c r="H299" s="4" t="s">
        <v>433</v>
      </c>
      <c r="I299" s="4" t="b">
        <v>0</v>
      </c>
      <c r="K299" s="4" t="b">
        <f>IF(COUNTIF($B$2:$B299,B299)&gt;1,TRUE,FALSE)</f>
        <v>0</v>
      </c>
      <c r="L299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 hidden="1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591</v>
      </c>
      <c r="H300" s="4" t="s">
        <v>434</v>
      </c>
      <c r="I300" s="4" t="b">
        <v>0</v>
      </c>
      <c r="K300" s="4" t="b">
        <f>IF(COUNTIF($B$2:$B300,B300)&gt;1,TRUE,FALSE)</f>
        <v>0</v>
      </c>
      <c r="L300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540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t="str">
        <f t="shared" si="39"/>
        <v>p.update({"param":{"action":{"type":"anonymous_construct_plural","subtype":"anonymous_construct","indent":3,"default_value":"","docs_url":"https://looker.com/docs/r/lookml/types/action/param?version=7.14&amp;lookml=new","has_allowed_values":False,"allowed_values":""}}})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{"param":{"action":{"type":"anonymous_construct_plural","subtype":"anonymous_construct","indent":3,"default_value":"","docs_url":"https://looker.com/docs/r/lookml/types/action/param?version=7.14&amp;lookml=new","has_allowed_values":False,"allowed_values":""}}}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"type":"anonymous_construct_plural",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 hidden="1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3</v>
      </c>
      <c r="G304" s="4" t="s">
        <v>591</v>
      </c>
      <c r="H304" s="4" t="s">
        <v>438</v>
      </c>
      <c r="I304" s="4" t="b">
        <v>0</v>
      </c>
      <c r="K304" s="4" t="b">
        <f>IF(COUNTIF($B$2:$B304,B304)&gt;1,TRUE,FALSE)</f>
        <v>0</v>
      </c>
      <c r="L304" t="str">
        <f t="shared" si="39"/>
        <v>p.update({"name":{"form_param":{"type":"string","subtype":"string","indent":3,"default_value":"","docs_url":"https://looker.com/docs/r/lookml/types/form_param/name?version=7.14&amp;lookml=new","has_allowed_values":False,"allowed_values":""}}})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{"name":{"form_param":{"type":"string","subtype":"string","indent":3,"default_value":"","docs_url":"https://looker.com/docs/r/lookml/types/form_param/name?version=7.14&amp;lookml=new","has_allowed_values":False,"allowed_values":""}}}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"indent":3,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 hidden="1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 hidden="1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591</v>
      </c>
      <c r="H306" s="4" t="s">
        <v>440</v>
      </c>
      <c r="I306" s="4" t="b">
        <v>0</v>
      </c>
      <c r="K306" s="4" t="b">
        <f>IF(COUNTIF($B$2:$B306,B306)&gt;1,TRUE,FALSE)</f>
        <v>1</v>
      </c>
      <c r="L306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 hidden="1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 hidden="1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603</v>
      </c>
      <c r="H308" s="4" t="s">
        <v>442</v>
      </c>
      <c r="I308" s="4" t="b">
        <v>0</v>
      </c>
      <c r="K308" s="4" t="b">
        <f>IF(COUNTIF($B$2:$B308,B308)&gt;1,TRUE,FALSE)</f>
        <v>0</v>
      </c>
      <c r="L308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 hidden="1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591</v>
      </c>
      <c r="H309" s="4" t="s">
        <v>443</v>
      </c>
      <c r="I309" s="4" t="b">
        <v>0</v>
      </c>
      <c r="K309" s="4" t="b">
        <f>IF(COUNTIF($B$2:$B309,B309)&gt;1,TRUE,FALSE)</f>
        <v>1</v>
      </c>
      <c r="L309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 hidden="1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591</v>
      </c>
      <c r="H310" s="4" t="s">
        <v>444</v>
      </c>
      <c r="I310" s="4" t="b">
        <v>0</v>
      </c>
      <c r="K310" s="4" t="b">
        <f>IF(COUNTIF($B$2:$B310,B310)&gt;1,TRUE,FALSE)</f>
        <v>0</v>
      </c>
      <c r="L310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 hidden="1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591</v>
      </c>
      <c r="H311" s="4" t="s">
        <v>445</v>
      </c>
      <c r="I311" s="4" t="b">
        <v>0</v>
      </c>
      <c r="K311" s="4" t="b">
        <f>IF(COUNTIF($B$2:$B311,B311)&gt;1,TRUE,FALSE)</f>
        <v>1</v>
      </c>
      <c r="L311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 hidden="1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591</v>
      </c>
      <c r="H312" s="4" t="s">
        <v>446</v>
      </c>
      <c r="I312" s="4" t="b">
        <v>0</v>
      </c>
      <c r="K312" s="4" t="b">
        <f>IF(COUNTIF($B$2:$B312,B312)&gt;1,TRUE,FALSE)</f>
        <v>1</v>
      </c>
      <c r="L312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 hidden="1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 hidden="1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591</v>
      </c>
      <c r="H314" s="4" t="s">
        <v>448</v>
      </c>
      <c r="I314" s="4" t="b">
        <v>0</v>
      </c>
      <c r="K314" s="4" t="b">
        <f>IF(COUNTIF($B$2:$B314,B314)&gt;1,TRUE,FALSE)</f>
        <v>0</v>
      </c>
      <c r="L3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 hidden="1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598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 hidden="1">
      <c r="A316" s="7">
        <v>360</v>
      </c>
      <c r="B316" s="6" t="s">
        <v>34</v>
      </c>
      <c r="C316" s="3" t="s">
        <v>130</v>
      </c>
      <c r="D316" s="4" t="s">
        <v>611</v>
      </c>
      <c r="E316" s="4" t="s">
        <v>34</v>
      </c>
      <c r="F316" s="4">
        <v>5</v>
      </c>
      <c r="G316" s="4" t="s">
        <v>591</v>
      </c>
      <c r="H316" s="4" t="s">
        <v>450</v>
      </c>
      <c r="I316" s="4" t="b">
        <v>0</v>
      </c>
      <c r="K316" s="4" t="b">
        <f>IF(COUNTIF($B$2:$B316,B316)&gt;1,TRUE,FALSE)</f>
        <v>1</v>
      </c>
      <c r="L316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 hidden="1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598</v>
      </c>
      <c r="F317" s="4">
        <v>4</v>
      </c>
      <c r="H317" s="4" t="s">
        <v>451</v>
      </c>
      <c r="I317" s="4" t="b">
        <v>0</v>
      </c>
      <c r="K317" s="4" t="b">
        <f>IF(COUNTIF($B$2:$B317,B317)&gt;1,TRUE,FALSE)</f>
        <v>0</v>
      </c>
      <c r="L317" t="str">
        <f t="shared" si="39"/>
        <v>p.update({"from_field":{"bind_filters":{"type":"string_unquoted","subtype":"field-ref","indent":4,"default_value":"","docs_url":"https://looker.com/docs/r/lookml/types/bind_filters/from_field?version=7.14&amp;lookml=new","has_allowed_values":False,"allowed_values":""}}})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{"from_field":{"bind_filters":{"type":"string_unquoted","subtype":"field-ref","indent":4,"default_value":"","docs_url":"https://looker.com/docs/r/lookml/types/bind_filters/from_field?version=7.14&amp;lookml=new","has_allowed_values":False,"allowed_values":""}}}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"indent":4,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 hidden="1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598</v>
      </c>
      <c r="F318" s="4">
        <v>4</v>
      </c>
      <c r="H318" s="4" t="s">
        <v>452</v>
      </c>
      <c r="I318" s="4" t="b">
        <v>0</v>
      </c>
      <c r="K318" s="4" t="b">
        <f>IF(COUNTIF($B$2:$B318,B318)&gt;1,TRUE,FALSE)</f>
        <v>0</v>
      </c>
      <c r="L318" t="str">
        <f t="shared" si="39"/>
        <v>p.update({"to_field":{"bind_filters":{"type":"string_unquoted","subtype":"field-ref","indent":4,"default_value":"","docs_url":"https://looker.com/docs/r/lookml/types/bind_filters/to_field?version=7.14&amp;lookml=new","has_allowed_values":False,"allowed_values":""}}})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{"to_field":{"bind_filters":{"type":"string_unquoted","subtype":"field-ref","indent":4,"default_value":"","docs_url":"https://looker.com/docs/r/lookml/types/bind_filters/to_field?version=7.14&amp;lookml=new","has_allowed_values":False,"allowed_values":""}}}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"indent":4,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 hidden="1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591</v>
      </c>
      <c r="H319" s="10" t="s">
        <v>453</v>
      </c>
      <c r="I319" s="4" t="b">
        <v>0</v>
      </c>
      <c r="K319" s="4" t="b">
        <f>IF(COUNTIF($B$2:$B319,B319)&gt;1,TRUE,FALSE)</f>
        <v>0</v>
      </c>
      <c r="L319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 hidden="1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591</v>
      </c>
      <c r="H320" s="4" t="s">
        <v>454</v>
      </c>
      <c r="I320" s="4" t="b">
        <v>0</v>
      </c>
      <c r="K320" s="4" t="b">
        <f>IF(COUNTIF($B$2:$B320,B320)&gt;1,TRUE,FALSE)</f>
        <v>0</v>
      </c>
      <c r="L320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 hidden="1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591</v>
      </c>
      <c r="H321" s="4" t="s">
        <v>455</v>
      </c>
      <c r="I321" s="4" t="b">
        <v>0</v>
      </c>
      <c r="K321" s="4" t="b">
        <f>IF(COUNTIF($B$2:$B321,B321)&gt;1,TRUE,FALSE)</f>
        <v>1</v>
      </c>
      <c r="L321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 hidden="1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t="str">
        <f t="shared" ref="L322:L347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 hidden="1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591</v>
      </c>
      <c r="H323" s="4" t="s">
        <v>457</v>
      </c>
      <c r="I323" s="4" t="b">
        <v>0</v>
      </c>
      <c r="K323" s="4" t="b">
        <f>IF(COUNTIF($B$2:$B323,B323)&gt;1,TRUE,FALSE)</f>
        <v>1</v>
      </c>
      <c r="L323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 hidden="1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598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 hidden="1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598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 hidden="1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hidden="1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591</v>
      </c>
      <c r="H327" s="4" t="s">
        <v>461</v>
      </c>
      <c r="I327" s="4" t="b">
        <v>0</v>
      </c>
      <c r="K327" s="4" t="b">
        <f>IF(COUNTIF($B$2:$B327,B327)&gt;1,TRUE,FALSE)</f>
        <v>0</v>
      </c>
      <c r="L327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 hidden="1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591</v>
      </c>
      <c r="H328" s="4" t="s">
        <v>462</v>
      </c>
      <c r="I328" s="4" t="b">
        <v>0</v>
      </c>
      <c r="K328" s="4" t="b">
        <f>IF(COUNTIF($B$2:$B328,B328)&gt;1,TRUE,FALSE)</f>
        <v>0</v>
      </c>
      <c r="L328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 hidden="1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591</v>
      </c>
      <c r="H329" s="4" t="s">
        <v>463</v>
      </c>
      <c r="I329" s="4" t="b">
        <v>0</v>
      </c>
      <c r="K329" s="4" t="b">
        <f>IF(COUNTIF($B$2:$B329,B329)&gt;1,TRUE,FALSE)</f>
        <v>1</v>
      </c>
      <c r="L329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 hidden="1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598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 hidden="1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592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 hidden="1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591</v>
      </c>
      <c r="H332" s="4" t="s">
        <v>466</v>
      </c>
      <c r="I332" s="4" t="b">
        <v>0</v>
      </c>
      <c r="K332" s="4" t="b">
        <f>IF(COUNTIF($B$2:$B332,B332)&gt;1,TRUE,FALSE)</f>
        <v>0</v>
      </c>
      <c r="L332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 hidden="1">
      <c r="A333" s="7">
        <v>385</v>
      </c>
      <c r="B333" s="6" t="s">
        <v>532</v>
      </c>
      <c r="C333" s="3" t="s">
        <v>134</v>
      </c>
      <c r="D333" s="4" t="s">
        <v>611</v>
      </c>
      <c r="E333" s="4" t="s">
        <v>34</v>
      </c>
      <c r="F333" s="4">
        <v>1</v>
      </c>
      <c r="G333" s="4" t="s">
        <v>591</v>
      </c>
      <c r="H333" s="4" t="s">
        <v>467</v>
      </c>
      <c r="I333" s="4" t="b">
        <v>0</v>
      </c>
      <c r="K333" s="4" t="b">
        <f>IF(COUNTIF($B$2:$B333,B333)&gt;1,TRUE,FALSE)</f>
        <v>0</v>
      </c>
      <c r="L333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 hidden="1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591</v>
      </c>
      <c r="H334" s="4" t="s">
        <v>468</v>
      </c>
      <c r="I334" s="4" t="b">
        <v>0</v>
      </c>
      <c r="K334" s="4" t="b">
        <f>IF(COUNTIF($B$2:$B334,B334)&gt;1,TRUE,FALSE)</f>
        <v>1</v>
      </c>
      <c r="L33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 hidden="1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591</v>
      </c>
      <c r="H335" s="4" t="s">
        <v>469</v>
      </c>
      <c r="I335" s="4" t="b">
        <v>0</v>
      </c>
      <c r="K335" s="4" t="b">
        <f>IF(COUNTIF($B$2:$B335,B335)&gt;1,TRUE,FALSE)</f>
        <v>1</v>
      </c>
      <c r="L335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 hidden="1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591</v>
      </c>
      <c r="H336" s="4" t="s">
        <v>470</v>
      </c>
      <c r="I336" s="4" t="b">
        <v>0</v>
      </c>
      <c r="K336" s="4" t="b">
        <f>IF(COUNTIF($B$2:$B336,B336)&gt;1,TRUE,FALSE)</f>
        <v>1</v>
      </c>
      <c r="L336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 hidden="1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603</v>
      </c>
      <c r="H337" s="4" t="s">
        <v>471</v>
      </c>
      <c r="I337" s="4" t="b">
        <v>0</v>
      </c>
      <c r="K337" s="4" t="b">
        <f>IF(COUNTIF($B$2:$B337,B337)&gt;1,TRUE,FALSE)</f>
        <v>0</v>
      </c>
      <c r="L337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 hidden="1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595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 hidden="1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591</v>
      </c>
      <c r="H339" s="5" t="s">
        <v>447</v>
      </c>
      <c r="I339" s="4" t="b">
        <v>0</v>
      </c>
      <c r="K339" s="4" t="b">
        <f>IF(COUNTIF($B$2:$B339,B339)&gt;1,TRUE,FALSE)</f>
        <v>1</v>
      </c>
      <c r="L339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hidden="1" customHeight="1">
      <c r="A340" s="7">
        <v>398</v>
      </c>
      <c r="B340" s="6" t="s">
        <v>34</v>
      </c>
      <c r="C340" s="4" t="s">
        <v>517</v>
      </c>
      <c r="D340" s="4" t="s">
        <v>611</v>
      </c>
      <c r="E340" s="4" t="s">
        <v>34</v>
      </c>
      <c r="F340" s="4">
        <v>5</v>
      </c>
      <c r="G340" s="4" t="s">
        <v>591</v>
      </c>
      <c r="H340" s="5" t="s">
        <v>447</v>
      </c>
      <c r="I340" s="4" t="b">
        <v>0</v>
      </c>
      <c r="K340" s="4" t="b">
        <f>IF(COUNTIF($B$2:$B340,B340)&gt;1,TRUE,FALSE)</f>
        <v>1</v>
      </c>
      <c r="L340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hidden="1" customHeight="1">
      <c r="A341" s="7">
        <v>401</v>
      </c>
      <c r="B341" s="6" t="s">
        <v>121</v>
      </c>
      <c r="C341" s="4" t="s">
        <v>473</v>
      </c>
      <c r="D341" s="4" t="s">
        <v>597</v>
      </c>
      <c r="E341" s="4" t="s">
        <v>597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hidden="1" customHeight="1">
      <c r="A342" s="7">
        <v>402</v>
      </c>
      <c r="B342" s="6" t="s">
        <v>600</v>
      </c>
      <c r="C342" s="4" t="s">
        <v>473</v>
      </c>
      <c r="D342" s="4" t="s">
        <v>543</v>
      </c>
      <c r="E342" s="1" t="s">
        <v>598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hidden="1" customHeight="1">
      <c r="A343" s="7">
        <v>405</v>
      </c>
      <c r="B343" s="4" t="s">
        <v>548</v>
      </c>
      <c r="C343" s="4" t="s">
        <v>67</v>
      </c>
      <c r="D343" s="4" t="s">
        <v>611</v>
      </c>
      <c r="E343" s="4" t="s">
        <v>34</v>
      </c>
      <c r="F343" s="4">
        <v>3</v>
      </c>
      <c r="G343" s="4" t="s">
        <v>591</v>
      </c>
      <c r="H343" s="5" t="s">
        <v>544</v>
      </c>
      <c r="I343" s="4" t="b">
        <v>0</v>
      </c>
      <c r="K343" s="4" t="b">
        <f>IF(COUNTIF($B$2:$B343,B343)&gt;1,TRUE,FALSE)</f>
        <v>0</v>
      </c>
      <c r="L343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hidden="1" customHeight="1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591</v>
      </c>
      <c r="H344" s="4" t="s">
        <v>153</v>
      </c>
      <c r="I344" s="4" t="b">
        <v>0</v>
      </c>
      <c r="K344" s="4" t="b">
        <f>IF(COUNTIF($B$2:$B344,B344)&gt;1,TRUE,FALSE)</f>
        <v>1</v>
      </c>
      <c r="L34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hidden="1" customHeight="1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591</v>
      </c>
      <c r="H345" s="4" t="s">
        <v>153</v>
      </c>
      <c r="I345" s="4" t="b">
        <v>0</v>
      </c>
      <c r="K345" s="4" t="b">
        <f>IF(COUNTIF($B$2:$B345,B345)&gt;1,TRUE,FALSE)</f>
        <v>0</v>
      </c>
      <c r="L345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hidden="1" customHeight="1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592</v>
      </c>
      <c r="F346" s="4">
        <v>1</v>
      </c>
      <c r="H346" s="10" t="s">
        <v>153</v>
      </c>
      <c r="I346" s="4" t="b">
        <v>0</v>
      </c>
      <c r="K346" s="4" t="b">
        <f>IF(COUNTIF($B$2:$B346,B346)&gt;1,TRUE,FALSE)</f>
        <v>0</v>
      </c>
      <c r="L346" t="str">
        <f t="shared" si="48"/>
        <v>p.update({"override_constant":{"remote_dependency":{"type":"named_construct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{"override_constant":{"remote_dependency":{"type":"named_construct","subtype":"constant-ref","indent":1,"default_value":"","docs_url":"https://looker.com/docs/r/lookml/types/manifest/remote_dependency?version=7.14&amp;lookml=new","has_allowed_values":False,"allowed_values":""}}}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"type":"named_construct",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hidden="1" customHeight="1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591</v>
      </c>
      <c r="H347" s="5" t="s">
        <v>549</v>
      </c>
      <c r="I347" s="4" t="b">
        <v>0</v>
      </c>
      <c r="K347" s="4" t="b">
        <f>IF(COUNTIF($B$2:$B347,B347)&gt;1,TRUE,FALSE)</f>
        <v>0</v>
      </c>
      <c r="L347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hidden="1" customHeight="1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591</v>
      </c>
      <c r="H348" s="4" t="s">
        <v>607</v>
      </c>
      <c r="I348" s="4" t="b">
        <v>0</v>
      </c>
      <c r="K348" s="4" t="b">
        <f>IF(COUNTIF($B$2:$B348,B348)&gt;1,TRUE,FALSE)</f>
        <v>1</v>
      </c>
      <c r="L348" t="str">
        <f t="shared" ref="L348:L369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hidden="1" customHeight="1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591</v>
      </c>
      <c r="H349" s="10" t="s">
        <v>607</v>
      </c>
      <c r="I349" s="4" t="b">
        <v>0</v>
      </c>
      <c r="K349" s="4" t="b">
        <f>IF(COUNTIF($B$2:$B349,B349)&gt;1,TRUE,FALSE)</f>
        <v>1</v>
      </c>
      <c r="L349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hidden="1" customHeight="1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591</v>
      </c>
      <c r="H350" s="10" t="s">
        <v>607</v>
      </c>
      <c r="I350" s="4" t="b">
        <v>0</v>
      </c>
      <c r="K350" s="4" t="b">
        <f>IF(COUNTIF($B$2:$B350,B350)&gt;1,TRUE,FALSE)</f>
        <v>1</v>
      </c>
      <c r="L350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hidden="1" customHeight="1">
      <c r="A351" s="7">
        <v>417</v>
      </c>
      <c r="B351" s="4" t="s">
        <v>615</v>
      </c>
      <c r="C351" s="6" t="s">
        <v>115</v>
      </c>
      <c r="D351" s="4" t="s">
        <v>597</v>
      </c>
      <c r="E351" s="4" t="s">
        <v>597</v>
      </c>
      <c r="F351" s="4">
        <v>3</v>
      </c>
      <c r="H351" s="4" t="s">
        <v>614</v>
      </c>
      <c r="I351" s="4" t="b">
        <v>0</v>
      </c>
      <c r="K351" s="4" t="b">
        <f>IF(COUNTIF($B$2:$B351,#REF!)&gt;1,TRUE,FALSE)</f>
        <v>0</v>
      </c>
      <c r="L351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hidden="1" customHeight="1">
      <c r="A352" s="7">
        <v>418</v>
      </c>
      <c r="B352" s="4" t="s">
        <v>616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603</v>
      </c>
      <c r="H352" s="10" t="s">
        <v>618</v>
      </c>
      <c r="I352" s="4" t="b">
        <v>0</v>
      </c>
      <c r="K352" s="4" t="b">
        <f>IF(COUNTIF($B$2:$B352,B352)&gt;1,TRUE,FALSE)</f>
        <v>0</v>
      </c>
      <c r="L352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09" si="67">"""type"":"&amp;""""&amp;E352&amp;""","</f>
        <v>"type":"yesno",</v>
      </c>
      <c r="O352" t="str">
        <f t="shared" ref="O352:O409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hidden="1" customHeight="1">
      <c r="A353" s="7">
        <v>419</v>
      </c>
      <c r="B353" s="4" t="s">
        <v>617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603</v>
      </c>
      <c r="H353" s="10" t="s">
        <v>619</v>
      </c>
      <c r="I353" s="4" t="b">
        <v>0</v>
      </c>
      <c r="K353" s="4" t="b">
        <f>IF(COUNTIF($B$2:$B353,B353)&gt;1,TRUE,FALSE)</f>
        <v>0</v>
      </c>
      <c r="L353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hidden="1" customHeight="1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591</v>
      </c>
      <c r="H354" s="10" t="s">
        <v>620</v>
      </c>
      <c r="I354" s="4" t="b">
        <v>0</v>
      </c>
      <c r="K354" s="4" t="b">
        <f>IF(COUNTIF($B$2:$B354,B354)&gt;1,TRUE,FALSE)</f>
        <v>1</v>
      </c>
      <c r="L35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hidden="1" customHeight="1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591</v>
      </c>
      <c r="H355" s="10" t="s">
        <v>620</v>
      </c>
      <c r="I355" s="4" t="b">
        <v>0</v>
      </c>
      <c r="K355" s="4" t="b">
        <f>IF(COUNTIF($B$2:$B355,B355)&gt;1,TRUE,FALSE)</f>
        <v>1</v>
      </c>
      <c r="L355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hidden="1" customHeight="1">
      <c r="A356" s="7">
        <v>422</v>
      </c>
      <c r="B356" s="4" t="s">
        <v>600</v>
      </c>
      <c r="C356" s="10" t="s">
        <v>513</v>
      </c>
      <c r="D356" s="4" t="s">
        <v>543</v>
      </c>
      <c r="E356" s="4" t="s">
        <v>598</v>
      </c>
      <c r="F356" s="4">
        <v>4</v>
      </c>
      <c r="H356" s="4" t="s">
        <v>620</v>
      </c>
      <c r="I356" s="4" t="b">
        <v>0</v>
      </c>
      <c r="K356" s="4" t="b">
        <f>IF(COUNTIF($B$2:$B356,B356)&gt;1,TRUE,FALSE)</f>
        <v>1</v>
      </c>
      <c r="L356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hidden="1" customHeight="1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591</v>
      </c>
      <c r="H357" s="4" t="s">
        <v>620</v>
      </c>
      <c r="I357" s="4" t="b">
        <v>0</v>
      </c>
      <c r="K357" s="4" t="b">
        <f>IF(COUNTIF($B$2:$B357,B357)&gt;1,TRUE,FALSE)</f>
        <v>1</v>
      </c>
      <c r="L357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hidden="1" customHeight="1">
      <c r="A358" s="4">
        <v>424</v>
      </c>
      <c r="B358" s="11" t="s">
        <v>621</v>
      </c>
      <c r="C358" s="6" t="s">
        <v>478</v>
      </c>
      <c r="D358" s="4" t="s">
        <v>0</v>
      </c>
      <c r="E358" s="4" t="s">
        <v>0</v>
      </c>
      <c r="F358" s="4">
        <v>2</v>
      </c>
      <c r="G358" s="4" t="s">
        <v>591</v>
      </c>
      <c r="H358" s="10" t="s">
        <v>152</v>
      </c>
      <c r="I358" s="4" t="b">
        <v>0</v>
      </c>
      <c r="K358" s="4" t="b">
        <f>IF(COUNTIF($B$2:$B358,B358)&gt;1,TRUE,FALSE)</f>
        <v>0</v>
      </c>
      <c r="L358" t="str">
        <f t="shared" si="57"/>
        <v>p.update({"project":{"local_dependency":{"type":"string","subtype":"string","indent":2,"default_value":"","docs_url":"https://looker.com/docs/r/lookml/types/manifest/local_dependency?version=7.14&amp;lookml=new","has_allowed_values":False,"allowed_values":""}}})</v>
      </c>
      <c r="M358" t="str">
        <f t="shared" si="49"/>
        <v>{"project":{"local_dependency":{"type":"string","subtype":"string","indent":2,"default_value":"","docs_url":"https://looker.com/docs/r/lookml/types/manifest/local_dependency?version=7.14&amp;lookml=new","has_allowed_values":False,"allowed_values":""}}}</v>
      </c>
      <c r="N358" t="str">
        <f t="shared" si="67"/>
        <v>"type":"string",</v>
      </c>
      <c r="O358" t="str">
        <f t="shared" si="68"/>
        <v>"subtype":"string",</v>
      </c>
      <c r="P358" t="str">
        <f t="shared" si="52"/>
        <v>"indent":2,</v>
      </c>
      <c r="Q358" t="str">
        <f t="shared" si="65"/>
        <v>"default_value":"",</v>
      </c>
      <c r="R358" t="str">
        <f t="shared" si="66"/>
        <v>"docs_url":"https://looker.com/docs/r/lookml/types/manifest/local_dependency?version=7.14&amp;lookml=new",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hidden="1" customHeight="1">
      <c r="A359" s="7">
        <v>425</v>
      </c>
      <c r="B359" s="11" t="s">
        <v>622</v>
      </c>
      <c r="C359" s="6" t="s">
        <v>482</v>
      </c>
      <c r="D359" s="4" t="s">
        <v>0</v>
      </c>
      <c r="E359" s="4" t="s">
        <v>550</v>
      </c>
      <c r="F359" s="4">
        <v>2</v>
      </c>
      <c r="G359" s="4" t="s">
        <v>623</v>
      </c>
      <c r="H359" s="10" t="s">
        <v>624</v>
      </c>
      <c r="I359" s="4" t="b">
        <v>1</v>
      </c>
      <c r="J359" s="4" t="s">
        <v>625</v>
      </c>
      <c r="K359" s="4" t="b">
        <f>IF(COUNTIF($B$2:$B359,B359)&gt;1,TRUE,FALSE)</f>
        <v>0</v>
      </c>
      <c r="L359" t="str">
        <f t="shared" si="57"/>
        <v>p.update(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"override_optional"]}}})</v>
      </c>
      <c r="M359" t="str">
        <f t="shared" si="49"/>
        <v>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</v>
      </c>
      <c r="N359" t="str">
        <f t="shared" si="67"/>
        <v>"type":"options",</v>
      </c>
      <c r="O359" t="str">
        <f t="shared" si="68"/>
        <v>"subtype":"string",</v>
      </c>
      <c r="P359" t="str">
        <f t="shared" si="52"/>
        <v>"indent":2,</v>
      </c>
      <c r="Q359" t="str">
        <f t="shared" ref="Q359:Q409" si="70">"""default_value"":"&amp;IF(G359="""""",""""",",IF(LEFT(G359,1)="[",G359,""""&amp;G359&amp;"""")&amp;",")</f>
        <v>"default_value":"none",</v>
      </c>
      <c r="R359" t="str">
        <f t="shared" ref="R359:R409" si="71">"""docs_url"":"&amp;""""&amp;H359&amp;""","</f>
        <v>"docs_url":"https://docs.looker.com/reference/manifest-params/constant?version=7.14&amp;lookml=new#using_export_in_imported_projects",</v>
      </c>
      <c r="S359" t="str">
        <f t="shared" si="69"/>
        <v>"has_allowed_values":True,</v>
      </c>
      <c r="T359" t="str">
        <f t="shared" si="55"/>
        <v>"allowed_values":["none", "override_required", "override_optional"]</v>
      </c>
    </row>
    <row r="360" spans="1:20" ht="15" hidden="1" customHeight="1">
      <c r="A360" s="7">
        <v>426</v>
      </c>
      <c r="B360" s="4" t="s">
        <v>127</v>
      </c>
      <c r="C360" s="6" t="s">
        <v>114</v>
      </c>
      <c r="D360" s="4" t="s">
        <v>0</v>
      </c>
      <c r="E360" s="4" t="s">
        <v>540</v>
      </c>
      <c r="F360" s="4">
        <v>1</v>
      </c>
      <c r="H360" s="10" t="s">
        <v>626</v>
      </c>
      <c r="I360" s="4" t="b">
        <v>0</v>
      </c>
      <c r="K360" s="4" t="b">
        <f>IF(COUNTIF($B$2:$B360,B360)&gt;1,TRUE,FALSE)</f>
        <v>0</v>
      </c>
      <c r="L360" t="str">
        <f t="shared" si="57"/>
        <v>p.update({"visualization":{"manifest":{"type":"anonymous_construct_plural","subtype":"string","indent":1,"default_value":"","docs_url":"https://docs.looker.com/reference/manifest-params/visualization?version=7.18&amp;lookml=new","has_allowed_values":False,"allowed_values":""}}})</v>
      </c>
      <c r="M360" t="str">
        <f t="shared" si="49"/>
        <v>{"visualization":{"manifest":{"type":"anonymous_construct_plural","subtype":"string","indent":1,"default_value":"","docs_url":"https://docs.looker.com/reference/manifest-params/visualization?version=7.18&amp;lookml=new","has_allowed_values":False,"allowed_values":""}}}</v>
      </c>
      <c r="N360" t="str">
        <f t="shared" si="67"/>
        <v>"type":"anonymous_construct_plural",</v>
      </c>
      <c r="O360" t="str">
        <f t="shared" si="68"/>
        <v>"subtype":"string",</v>
      </c>
      <c r="P360" t="str">
        <f t="shared" si="52"/>
        <v>"indent":1,</v>
      </c>
      <c r="Q360" t="str">
        <f t="shared" si="70"/>
        <v>"default_value":"",</v>
      </c>
      <c r="R360" t="str">
        <f t="shared" si="71"/>
        <v>"docs_url":"https://docs.looker.com/reference/manifest-params/visualization?version=7.18&amp;lookml=new",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hidden="1" customHeight="1">
      <c r="A361" s="7">
        <v>427</v>
      </c>
      <c r="B361" s="11" t="s">
        <v>506</v>
      </c>
      <c r="C361" s="4" t="s">
        <v>127</v>
      </c>
      <c r="D361" s="4" t="s">
        <v>0</v>
      </c>
      <c r="E361" s="4" t="s">
        <v>0</v>
      </c>
      <c r="F361" s="4">
        <v>3</v>
      </c>
      <c r="G361" s="4" t="s">
        <v>591</v>
      </c>
      <c r="H361" s="4" t="s">
        <v>626</v>
      </c>
      <c r="I361" s="4" t="b">
        <v>0</v>
      </c>
      <c r="K361" s="4" t="b">
        <f>IF(COUNTIF($B$2:$B361,B361)&gt;1,TRUE,FALSE)</f>
        <v>1</v>
      </c>
      <c r="L361" t="str">
        <f t="shared" si="57"/>
        <v>p["id"].update({"visualization":{"type":"string","subtype":"string","indent":3,"default_value":"","docs_url":"https://docs.looker.com/reference/manifest-params/visualization?version=7.18&amp;lookml=new","has_allowed_values":False,"allowed_values":""}})</v>
      </c>
      <c r="M361" t="str">
        <f t="shared" si="49"/>
        <v>{"id":{"visualization":{"type":"string","subtype":"string","indent":3,"default_value":"","docs_url":"https://docs.looker.com/reference/manifest-params/visualization?version=7.18&amp;lookml=new","has_allowed_values":False,"allowed_values":""}}}</v>
      </c>
      <c r="N361" t="str">
        <f t="shared" si="67"/>
        <v>"type":"string",</v>
      </c>
      <c r="O361" t="str">
        <f t="shared" si="68"/>
        <v>"subtype":"string",</v>
      </c>
      <c r="P361" t="str">
        <f t="shared" si="52"/>
        <v>"indent":3,</v>
      </c>
      <c r="Q361" t="str">
        <f t="shared" si="70"/>
        <v>"default_value":"",</v>
      </c>
      <c r="R361" t="str">
        <f t="shared" si="71"/>
        <v>"docs_url":"https://docs.looker.com/reference/manifest-params/visualization?version=7.18&amp;lookml=new",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hidden="1" customHeight="1">
      <c r="A362" s="7">
        <v>428</v>
      </c>
      <c r="B362" s="11" t="s">
        <v>23</v>
      </c>
      <c r="C362" s="4" t="s">
        <v>127</v>
      </c>
      <c r="D362" s="4" t="s">
        <v>29</v>
      </c>
      <c r="E362" s="4" t="s">
        <v>0</v>
      </c>
      <c r="F362" s="4">
        <v>3</v>
      </c>
      <c r="G362" s="4" t="s">
        <v>591</v>
      </c>
      <c r="H362" s="4" t="s">
        <v>626</v>
      </c>
      <c r="I362" s="4" t="b">
        <v>0</v>
      </c>
      <c r="K362" s="4" t="b">
        <f>IF(COUNTIF($B$2:$B362,B362)&gt;1,TRUE,FALSE)</f>
        <v>1</v>
      </c>
      <c r="L362" t="str">
        <f t="shared" si="57"/>
        <v>p["label"].update({"visualization":{"type":"string","subtype":"possibly-localized-string","indent":3,"default_value":"","docs_url":"https://docs.looker.com/reference/manifest-params/visualization?version=7.18&amp;lookml=new","has_allowed_values":False,"allowed_values":""}})</v>
      </c>
      <c r="M362" t="str">
        <f>"{"&amp;""""&amp;B375
&amp;""":{"&amp;""""&amp;C375&amp;""":{"&amp;_xlfn.CONCAT(N362:T362)&amp;"}}}"</f>
        <v>{"":{"":{"type":"string","subtype":"possibly-localized-string","indent":3,"default_value":"","docs_url":"https://docs.looker.com/reference/manifest-params/visualization?version=7.18&amp;lookml=new","has_allowed_values":False,"allowed_values":""}}}</v>
      </c>
      <c r="N362" t="str">
        <f t="shared" si="67"/>
        <v>"type":"string",</v>
      </c>
      <c r="O362" t="str">
        <f t="shared" si="68"/>
        <v>"subtype":"possibly-localized-string",</v>
      </c>
      <c r="P362" t="str">
        <f t="shared" si="52"/>
        <v>"indent":3,</v>
      </c>
      <c r="Q362" t="str">
        <f t="shared" si="70"/>
        <v>"default_value":"",</v>
      </c>
      <c r="R362" t="str">
        <f t="shared" si="71"/>
        <v>"docs_url":"https://docs.looker.com/reference/manifest-params/visualization?version=7.18&amp;lookml=new",</v>
      </c>
      <c r="S362" t="str">
        <f t="shared" si="69"/>
        <v>"has_allowed_values":False,</v>
      </c>
      <c r="T362" t="str">
        <f t="shared" si="55"/>
        <v>"allowed_values":""</v>
      </c>
    </row>
    <row r="363" spans="1:20" ht="15" hidden="1" customHeight="1">
      <c r="A363" s="7">
        <v>429</v>
      </c>
      <c r="B363" s="11" t="s">
        <v>494</v>
      </c>
      <c r="C363" s="4" t="s">
        <v>127</v>
      </c>
      <c r="D363" s="4" t="s">
        <v>0</v>
      </c>
      <c r="E363" s="4" t="s">
        <v>0</v>
      </c>
      <c r="F363" s="4">
        <v>3</v>
      </c>
      <c r="G363" s="4" t="s">
        <v>591</v>
      </c>
      <c r="H363" s="4" t="s">
        <v>626</v>
      </c>
      <c r="I363" s="4" t="b">
        <v>0</v>
      </c>
      <c r="K363" s="4" t="b">
        <f>IF(COUNTIF($B$2:$B363,B363)&gt;1,TRUE,FALSE)</f>
        <v>1</v>
      </c>
      <c r="L363" t="str">
        <f t="shared" si="57"/>
        <v>p["url"].update({"visualization":{"type":"string","subtype":"string","indent":3,"default_value":"","docs_url":"https://docs.looker.com/reference/manifest-params/visualization?version=7.18&amp;lookml=new","has_allowed_values":False,"allowed_values":""}})</v>
      </c>
      <c r="M363" t="str">
        <f>"{"&amp;""""&amp;B376
&amp;""":{"&amp;""""&amp;C376&amp;""":{"&amp;_xlfn.CONCAT(N363:T363)&amp;"}}}"</f>
        <v>{"":{"":{"type":"string","subtype":"string","indent":3,"default_value":"","docs_url":"https://docs.looker.com/reference/manifest-params/visualization?version=7.18&amp;lookml=new","has_allowed_values":False,"allowed_values":""}}}</v>
      </c>
      <c r="N363" t="str">
        <f t="shared" si="67"/>
        <v>"type":"string",</v>
      </c>
      <c r="O363" t="str">
        <f t="shared" si="68"/>
        <v>"subtype":"string",</v>
      </c>
      <c r="P363" t="str">
        <f t="shared" si="52"/>
        <v>"indent":3,</v>
      </c>
      <c r="Q363" t="str">
        <f t="shared" si="70"/>
        <v>"default_value":"",</v>
      </c>
      <c r="R363" t="str">
        <f t="shared" si="71"/>
        <v>"docs_url":"https://docs.looker.com/reference/manifest-params/visualization?version=7.18&amp;lookml=new",</v>
      </c>
      <c r="S363" t="str">
        <f t="shared" si="69"/>
        <v>"has_allowed_values":False,</v>
      </c>
      <c r="T363" t="str">
        <f t="shared" si="55"/>
        <v>"allowed_values":""</v>
      </c>
    </row>
    <row r="364" spans="1:20" ht="15" hidden="1" customHeight="1">
      <c r="A364" s="7">
        <v>430</v>
      </c>
      <c r="B364" s="11" t="s">
        <v>507</v>
      </c>
      <c r="C364" s="4" t="s">
        <v>127</v>
      </c>
      <c r="D364" s="4" t="s">
        <v>0</v>
      </c>
      <c r="E364" s="4" t="s">
        <v>0</v>
      </c>
      <c r="F364" s="4">
        <v>3</v>
      </c>
      <c r="G364" s="4" t="s">
        <v>591</v>
      </c>
      <c r="H364" s="4" t="s">
        <v>626</v>
      </c>
      <c r="I364" s="4" t="b">
        <v>0</v>
      </c>
      <c r="K364" s="4" t="b">
        <f>IF(COUNTIF($B$2:$B364,B364)&gt;1,TRUE,FALSE)</f>
        <v>1</v>
      </c>
      <c r="L364" t="str">
        <f t="shared" si="57"/>
        <v>p["sri_hash"].update({"visualization":{"type":"string","subtype":"string","indent":3,"default_value":"","docs_url":"https://docs.looker.com/reference/manifest-params/visualization?version=7.18&amp;lookml=new","has_allowed_values":False,"allowed_values":""}})</v>
      </c>
      <c r="M364" t="str">
        <f>"{"&amp;""""&amp;B377
&amp;""":{"&amp;""""&amp;C377&amp;""":{"&amp;_xlfn.CONCAT(N364:T364)&amp;"}}}"</f>
        <v>{"":{"":{"type":"string","subtype":"string","indent":3,"default_value":"","docs_url":"https://docs.looker.com/reference/manifest-params/visualization?version=7.18&amp;lookml=new","has_allowed_values":False,"allowed_values":""}}}</v>
      </c>
      <c r="N364" t="str">
        <f t="shared" si="67"/>
        <v>"type":"string",</v>
      </c>
      <c r="O364" t="str">
        <f t="shared" si="68"/>
        <v>"subtype":"string",</v>
      </c>
      <c r="P364" t="str">
        <f t="shared" si="52"/>
        <v>"indent":3,</v>
      </c>
      <c r="Q364" t="str">
        <f t="shared" si="70"/>
        <v>"default_value":"",</v>
      </c>
      <c r="R364" t="str">
        <f t="shared" si="71"/>
        <v>"docs_url":"https://docs.looker.com/reference/manifest-params/visualization?version=7.18&amp;lookml=new",</v>
      </c>
      <c r="S364" t="str">
        <f t="shared" si="69"/>
        <v>"has_allowed_values":False,</v>
      </c>
      <c r="T364" t="str">
        <f t="shared" si="55"/>
        <v>"allowed_values":""</v>
      </c>
    </row>
    <row r="365" spans="1:20" ht="15" hidden="1" customHeight="1">
      <c r="A365" s="7">
        <v>431</v>
      </c>
      <c r="B365" s="11" t="s">
        <v>508</v>
      </c>
      <c r="C365" s="4" t="s">
        <v>127</v>
      </c>
      <c r="D365" s="4" t="s">
        <v>597</v>
      </c>
      <c r="E365" s="4" t="s">
        <v>597</v>
      </c>
      <c r="F365" s="4">
        <v>3</v>
      </c>
      <c r="G365" s="4" t="s">
        <v>591</v>
      </c>
      <c r="H365" s="4" t="s">
        <v>626</v>
      </c>
      <c r="I365" s="4" t="b">
        <v>0</v>
      </c>
      <c r="K365" s="4" t="b">
        <f>IF(COUNTIF($B$2:$B365,B365)&gt;1,TRUE,FALSE)</f>
        <v>1</v>
      </c>
      <c r="L365" t="str">
        <f t="shared" si="57"/>
        <v>p["dependencies"].update({"visualization":{"type":"list_quoted","subtype":"list_quoted","indent":3,"default_value":"","docs_url":"https://docs.looker.com/reference/manifest-params/visualization?version=7.18&amp;lookml=new","has_allowed_values":False,"allowed_values":""}})</v>
      </c>
      <c r="M365" t="str">
        <f>"{"&amp;""""&amp;B378
&amp;""":{"&amp;""""&amp;C378&amp;""":{"&amp;_xlfn.CONCAT(N365:T365)&amp;"}}}"</f>
        <v>{"":{"":{"type":"list_quoted","subtype":"list_quoted","indent":3,"default_value":"","docs_url":"https://docs.looker.com/reference/manifest-params/visualization?version=7.18&amp;lookml=new","has_allowed_values":False,"allowed_values":""}}}</v>
      </c>
      <c r="N365" t="str">
        <f t="shared" si="67"/>
        <v>"type":"list_quoted",</v>
      </c>
      <c r="O365" t="str">
        <f t="shared" si="68"/>
        <v>"subtype":"list_quoted",</v>
      </c>
      <c r="P365" t="str">
        <f t="shared" si="52"/>
        <v>"indent":3,</v>
      </c>
      <c r="Q365" t="str">
        <f t="shared" si="70"/>
        <v>"default_value":"",</v>
      </c>
      <c r="R365" t="str">
        <f t="shared" si="71"/>
        <v>"docs_url":"https://docs.looker.com/reference/manifest-params/visualization?version=7.18&amp;lookml=new",</v>
      </c>
      <c r="S365" t="str">
        <f t="shared" si="69"/>
        <v>"has_allowed_values":False,</v>
      </c>
      <c r="T365" t="str">
        <f t="shared" si="55"/>
        <v>"allowed_values":""</v>
      </c>
    </row>
    <row r="366" spans="1:20" ht="15" hidden="1" customHeight="1">
      <c r="A366" s="7">
        <v>432</v>
      </c>
      <c r="B366" s="11" t="s">
        <v>495</v>
      </c>
      <c r="C366" s="4" t="s">
        <v>127</v>
      </c>
      <c r="D366" s="4" t="s">
        <v>0</v>
      </c>
      <c r="E366" s="4" t="s">
        <v>0</v>
      </c>
      <c r="F366" s="4">
        <v>3</v>
      </c>
      <c r="G366" s="4" t="s">
        <v>591</v>
      </c>
      <c r="H366" s="4" t="s">
        <v>626</v>
      </c>
      <c r="I366" s="4" t="b">
        <v>0</v>
      </c>
      <c r="K366" s="4" t="b">
        <f>IF(COUNTIF($B$2:$B366,B366)&gt;1,TRUE,FALSE)</f>
        <v>1</v>
      </c>
      <c r="L366" t="str">
        <f t="shared" si="57"/>
        <v>p["file"].update({"visualization":{"type":"string","subtype":"string","indent":3,"default_value":"","docs_url":"https://docs.looker.com/reference/manifest-params/visualization?version=7.18&amp;lookml=new","has_allowed_values":False,"allowed_values":""}})</v>
      </c>
      <c r="M366" t="str">
        <f>"{"&amp;""""&amp;B379
&amp;""":{"&amp;""""&amp;C379&amp;""":{"&amp;_xlfn.CONCAT(N366:T366)&amp;"}}}"</f>
        <v>{"":{"":{"type":"string","subtype":"string","indent":3,"default_value":"","docs_url":"https://docs.looker.com/reference/manifest-params/visualization?version=7.18&amp;lookml=new","has_allowed_values":False,"allowed_values":""}}}</v>
      </c>
      <c r="N366" t="str">
        <f t="shared" si="67"/>
        <v>"type":"string",</v>
      </c>
      <c r="O366" t="str">
        <f t="shared" si="68"/>
        <v>"subtype":"string",</v>
      </c>
      <c r="P366" t="str">
        <f t="shared" si="52"/>
        <v>"indent":3,</v>
      </c>
      <c r="Q366" t="str">
        <f t="shared" si="70"/>
        <v>"default_value":"",</v>
      </c>
      <c r="R366" t="str">
        <f t="shared" si="71"/>
        <v>"docs_url":"https://docs.looker.com/reference/manifest-params/visualization?version=7.18&amp;lookml=new",</v>
      </c>
      <c r="S366" t="str">
        <f t="shared" si="69"/>
        <v>"has_allowed_values":False,</v>
      </c>
      <c r="T366" t="str">
        <f t="shared" si="55"/>
        <v>"allowed_values":""</v>
      </c>
    </row>
    <row r="367" spans="1:20" ht="15" hidden="1" customHeight="1">
      <c r="A367" s="7">
        <v>433</v>
      </c>
      <c r="B367" s="11" t="s">
        <v>547</v>
      </c>
      <c r="C367" s="6" t="s">
        <v>482</v>
      </c>
      <c r="D367" s="4" t="s">
        <v>0</v>
      </c>
      <c r="E367" s="4" t="s">
        <v>0</v>
      </c>
      <c r="F367" s="4">
        <v>2</v>
      </c>
      <c r="G367" s="4" t="s">
        <v>591</v>
      </c>
      <c r="H367" s="10" t="s">
        <v>624</v>
      </c>
      <c r="I367" s="4" t="b">
        <v>0</v>
      </c>
      <c r="K367" s="4" t="b">
        <f>IF(COUNTIF($B$2:$B367,B367)&gt;1,TRUE,FALSE)</f>
        <v>1</v>
      </c>
      <c r="L367" t="str">
        <f t="shared" si="57"/>
        <v>p["value"].update({"constant":{"type":"string","subtype":"string","indent":2,"default_value":"","docs_url":"https://docs.looker.com/reference/manifest-params/constant?version=7.14&amp;lookml=new#using_export_in_imported_projects","has_allowed_values":False,"allowed_values":""}})</v>
      </c>
      <c r="M367" t="str">
        <f>"{"&amp;""""&amp;B380
&amp;""":{"&amp;""""&amp;C380&amp;""":{"&amp;_xlfn.CONCAT(N367:T367)&amp;"}}}"</f>
        <v>{"":{"":{"type":"string","subtype":"string","indent":2,"default_value":"","docs_url":"https://docs.looker.com/reference/manifest-params/constant?version=7.14&amp;lookml=new#using_export_in_imported_projects","has_allowed_values":False,"allowed_values":""}}}</v>
      </c>
      <c r="N367" t="str">
        <f t="shared" si="67"/>
        <v>"type":"string",</v>
      </c>
      <c r="O367" t="str">
        <f t="shared" si="68"/>
        <v>"subtype":"string",</v>
      </c>
      <c r="P367" t="str">
        <f t="shared" si="52"/>
        <v>"indent":2,</v>
      </c>
      <c r="Q367" t="str">
        <f t="shared" si="70"/>
        <v>"default_value":"",</v>
      </c>
      <c r="R367" t="str">
        <f t="shared" si="71"/>
        <v>"docs_url":"https://docs.looker.com/reference/manifest-params/constant?version=7.14&amp;lookml=new#using_export_in_imported_projects",</v>
      </c>
      <c r="S367" t="str">
        <f t="shared" si="69"/>
        <v>"has_allowed_values":False,</v>
      </c>
      <c r="T367" t="str">
        <f t="shared" si="55"/>
        <v>"allowed_values":""</v>
      </c>
    </row>
    <row r="368" spans="1:20" ht="15" hidden="1" customHeight="1">
      <c r="A368" s="7">
        <v>434</v>
      </c>
      <c r="B368" s="11" t="s">
        <v>23</v>
      </c>
      <c r="C368" s="4" t="s">
        <v>485</v>
      </c>
      <c r="D368" s="4" t="s">
        <v>0</v>
      </c>
      <c r="E368" s="4" t="s">
        <v>0</v>
      </c>
      <c r="F368" s="4">
        <v>3</v>
      </c>
      <c r="G368" s="4" t="s">
        <v>591</v>
      </c>
      <c r="H368" s="10" t="s">
        <v>627</v>
      </c>
      <c r="I368" s="4" t="b">
        <v>0</v>
      </c>
      <c r="K368" s="4" t="b">
        <f>IF(COUNTIF($B$2:$B368,B368)&gt;1,TRUE,FALSE)</f>
        <v>1</v>
      </c>
      <c r="L368" t="str">
        <f t="shared" si="57"/>
        <v>p["label"].update({"allowed_value":{"type":"string","subtype":"string","indent":3,"default_value":"","docs_url":"https://docs.looker.com/reference/field-params/parameter?version=7.14&amp;lookml=new#specifying_allowed_values","has_allowed_values":False,"allowed_values":""}})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8" t="str">
        <f>"{"&amp;""""&amp;B381
&amp;""":{"&amp;""""&amp;C381&amp;""":{"&amp;_xlfn.CONCAT(N368:T368)&amp;"}}}"</f>
        <v>{"":{"":{"type":"string","subtype":"string","indent":3,"default_value":"","docs_url":"https://docs.looker.com/reference/field-params/parameter?version=7.14&amp;lookml=new#specifying_allowed_values","has_allowed_values":False,"allowed_values":""}}}</v>
      </c>
      <c r="N368" t="str">
        <f t="shared" si="67"/>
        <v>"type":"string",</v>
      </c>
      <c r="O368" t="str">
        <f t="shared" si="68"/>
        <v>"subtype":"string",</v>
      </c>
      <c r="P368" t="str">
        <f t="shared" si="52"/>
        <v>"indent":3,</v>
      </c>
      <c r="Q368" t="str">
        <f t="shared" si="70"/>
        <v>"default_value":"",</v>
      </c>
      <c r="R368" t="str">
        <f t="shared" si="71"/>
        <v>"docs_url":"https://docs.looker.com/reference/field-params/parameter?version=7.14&amp;lookml=new#specifying_allowed_values",</v>
      </c>
      <c r="S368" t="str">
        <f t="shared" si="69"/>
        <v>"has_allowed_values":False,</v>
      </c>
      <c r="T368" t="str">
        <f t="shared" si="55"/>
        <v>"allowed_values":""</v>
      </c>
    </row>
    <row r="369" spans="1:20" ht="15" hidden="1" customHeight="1">
      <c r="A369" s="7">
        <v>435</v>
      </c>
      <c r="B369" s="11" t="s">
        <v>547</v>
      </c>
      <c r="C369" s="4" t="s">
        <v>485</v>
      </c>
      <c r="D369" s="4" t="s">
        <v>0</v>
      </c>
      <c r="E369" s="4" t="s">
        <v>0</v>
      </c>
      <c r="F369" s="4">
        <v>3</v>
      </c>
      <c r="G369" s="4" t="s">
        <v>591</v>
      </c>
      <c r="H369" s="10" t="s">
        <v>627</v>
      </c>
      <c r="I369" s="4" t="b">
        <v>0</v>
      </c>
      <c r="K369" s="4" t="b">
        <f>IF(COUNTIF($B$2:$B369,B369)&gt;1,TRUE,FALSE)</f>
        <v>1</v>
      </c>
      <c r="L369" t="str">
        <f t="shared" si="57"/>
        <v>p["value"].update({"allowed_value":{"type":"string","subtype":"string","indent":3,"default_value":"","docs_url":"https://docs.looker.com/reference/field-params/parameter?version=7.14&amp;lookml=new#specifying_allowed_values","has_allowed_values":False,"allowed_values":""}})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9" t="str">
        <f>"{"&amp;""""&amp;B382
&amp;""":{"&amp;""""&amp;C382&amp;""":{"&amp;_xlfn.CONCAT(N369:T369)&amp;"}}}"</f>
        <v>{"":{"":{"type":"string","subtype":"string","indent":3,"default_value":"","docs_url":"https://docs.looker.com/reference/field-params/parameter?version=7.14&amp;lookml=new#specifying_allowed_values","has_allowed_values":False,"allowed_values":""}}}</v>
      </c>
      <c r="N369" t="str">
        <f t="shared" si="67"/>
        <v>"type":"string",</v>
      </c>
      <c r="O369" t="str">
        <f t="shared" si="68"/>
        <v>"subtype":"string",</v>
      </c>
      <c r="P369" t="str">
        <f t="shared" si="52"/>
        <v>"indent":3,</v>
      </c>
      <c r="Q369" t="str">
        <f t="shared" si="70"/>
        <v>"default_value":"",</v>
      </c>
      <c r="R369" t="str">
        <f t="shared" si="71"/>
        <v>"docs_url":"https://docs.looker.com/reference/field-params/parameter?version=7.14&amp;lookml=new#specifying_allowed_values",</v>
      </c>
      <c r="S369" t="str">
        <f t="shared" si="69"/>
        <v>"has_allowed_values":False,</v>
      </c>
      <c r="T369" t="str">
        <f t="shared" si="55"/>
        <v>"allowed_values":""</v>
      </c>
    </row>
    <row r="370" spans="1:20" ht="15" hidden="1" customHeight="1">
      <c r="M370" t="str">
        <f t="shared" si="49"/>
        <v>{"":{"":{"type":"","subtype":"","indent":,"default_value":"","docs_url":"","has_allowed_values":False,"allowed_values":""}}}</v>
      </c>
      <c r="N370" t="str">
        <f t="shared" si="67"/>
        <v>"type":"",</v>
      </c>
      <c r="O370" t="str">
        <f t="shared" si="68"/>
        <v>"subtype":"",</v>
      </c>
      <c r="P370" t="str">
        <f t="shared" si="52"/>
        <v>"indent":,</v>
      </c>
      <c r="Q370" t="str">
        <f t="shared" si="70"/>
        <v>"default_value":"",</v>
      </c>
      <c r="R370" t="str">
        <f t="shared" si="71"/>
        <v>"docs_url":"",</v>
      </c>
      <c r="S370" t="str">
        <f t="shared" si="69"/>
        <v>"has_allowed_values":False,</v>
      </c>
      <c r="T370" t="str">
        <f t="shared" si="55"/>
        <v>"allowed_values":""</v>
      </c>
    </row>
    <row r="371" spans="1:20" ht="15" hidden="1" customHeight="1">
      <c r="M371" t="str">
        <f t="shared" si="49"/>
        <v>{"":{"":{"type":"","subtype":"","indent":,"default_value":"","docs_url":"","has_allowed_values":False,"allowed_values":""}}}</v>
      </c>
      <c r="N371" t="str">
        <f t="shared" si="67"/>
        <v>"type":"",</v>
      </c>
      <c r="O371" t="str">
        <f t="shared" si="68"/>
        <v>"subtype":"",</v>
      </c>
      <c r="P371" t="str">
        <f t="shared" si="52"/>
        <v>"indent":,</v>
      </c>
      <c r="Q371" t="str">
        <f t="shared" si="70"/>
        <v>"default_value":"",</v>
      </c>
      <c r="R371" t="str">
        <f t="shared" si="71"/>
        <v>"docs_url":"",</v>
      </c>
      <c r="S371" t="str">
        <f t="shared" si="69"/>
        <v>"has_allowed_values":False,</v>
      </c>
      <c r="T371" t="str">
        <f t="shared" si="55"/>
        <v>"allowed_values":""</v>
      </c>
    </row>
    <row r="372" spans="1:20" ht="15" hidden="1" customHeight="1">
      <c r="M372" t="str">
        <f t="shared" si="49"/>
        <v>{"":{"":{"type":"","subtype":"","indent":,"default_value":"","docs_url":"","has_allowed_values":False,"allowed_values":""}}}</v>
      </c>
      <c r="N372" t="str">
        <f t="shared" si="67"/>
        <v>"type":"",</v>
      </c>
      <c r="O372" t="str">
        <f t="shared" si="68"/>
        <v>"subtype":"",</v>
      </c>
      <c r="P372" t="str">
        <f t="shared" si="52"/>
        <v>"indent":,</v>
      </c>
      <c r="Q372" t="str">
        <f t="shared" si="70"/>
        <v>"default_value":"",</v>
      </c>
      <c r="R372" t="str">
        <f t="shared" si="71"/>
        <v>"docs_url":"",</v>
      </c>
      <c r="S372" t="str">
        <f t="shared" si="69"/>
        <v>"has_allowed_values":False,</v>
      </c>
      <c r="T372" t="str">
        <f t="shared" si="55"/>
        <v>"allowed_values":""</v>
      </c>
    </row>
    <row r="373" spans="1:20" ht="15" hidden="1" customHeight="1">
      <c r="M373" t="str">
        <f t="shared" si="49"/>
        <v>{"":{"":{"type":"","subtype":"","indent":,"default_value":"","docs_url":"","has_allowed_values":False,"allowed_values":""}}}</v>
      </c>
      <c r="N373" t="str">
        <f t="shared" si="67"/>
        <v>"type":"",</v>
      </c>
      <c r="O373" t="str">
        <f t="shared" si="68"/>
        <v>"subtype":"",</v>
      </c>
      <c r="P373" t="str">
        <f t="shared" si="52"/>
        <v>"indent":,</v>
      </c>
      <c r="Q373" t="str">
        <f t="shared" si="70"/>
        <v>"default_value":"",</v>
      </c>
      <c r="R373" t="str">
        <f t="shared" si="71"/>
        <v>"docs_url":"",</v>
      </c>
      <c r="S373" t="str">
        <f t="shared" si="69"/>
        <v>"has_allowed_values":False,</v>
      </c>
      <c r="T373" t="str">
        <f t="shared" si="55"/>
        <v>"allowed_values":""</v>
      </c>
    </row>
    <row r="374" spans="1:20" ht="15" hidden="1" customHeight="1">
      <c r="M374" t="str">
        <f t="shared" si="49"/>
        <v>{"":{"":{"type":"","subtype":"","indent":,"default_value":"","docs_url":"","has_allowed_values":False,"allowed_values":""}}}</v>
      </c>
      <c r="N374" t="str">
        <f t="shared" si="67"/>
        <v>"type":"",</v>
      </c>
      <c r="O374" t="str">
        <f t="shared" si="68"/>
        <v>"subtype":"",</v>
      </c>
      <c r="P374" t="str">
        <f t="shared" si="52"/>
        <v>"indent":,</v>
      </c>
      <c r="Q374" t="str">
        <f t="shared" si="70"/>
        <v>"default_value":"",</v>
      </c>
      <c r="R374" t="str">
        <f t="shared" si="71"/>
        <v>"docs_url":"",</v>
      </c>
      <c r="S374" t="str">
        <f t="shared" si="69"/>
        <v>"has_allowed_values":False,</v>
      </c>
      <c r="T374" t="str">
        <f t="shared" si="55"/>
        <v>"allowed_values":""</v>
      </c>
    </row>
    <row r="375" spans="1:20" ht="15" hidden="1" customHeight="1">
      <c r="B375" s="10"/>
      <c r="M375" t="e">
        <f>"{"&amp;""""&amp;#REF!
&amp;""":{"&amp;""""&amp;#REF!&amp;""":{"&amp;_xlfn.CONCAT(N375:T375)&amp;"}}}"</f>
        <v>#REF!</v>
      </c>
      <c r="N375" t="str">
        <f t="shared" si="67"/>
        <v>"type":"",</v>
      </c>
      <c r="O375" t="str">
        <f t="shared" si="68"/>
        <v>"subtype":"",</v>
      </c>
      <c r="P375" t="str">
        <f t="shared" si="52"/>
        <v>"indent":,</v>
      </c>
      <c r="Q375" t="str">
        <f t="shared" si="70"/>
        <v>"default_value":"",</v>
      </c>
      <c r="R375" t="str">
        <f t="shared" si="71"/>
        <v>"docs_url":"",</v>
      </c>
      <c r="S375" t="str">
        <f t="shared" si="69"/>
        <v>"has_allowed_values":False,</v>
      </c>
      <c r="T375" t="str">
        <f t="shared" si="55"/>
        <v>"allowed_values":""</v>
      </c>
    </row>
    <row r="376" spans="1:20" ht="15" hidden="1" customHeight="1">
      <c r="B376" s="12"/>
      <c r="M376" t="e">
        <f>"{"&amp;""""&amp;#REF!
&amp;""":{"&amp;""""&amp;#REF!&amp;""":{"&amp;_xlfn.CONCAT(N376:T376)&amp;"}}}"</f>
        <v>#REF!</v>
      </c>
      <c r="N376" t="str">
        <f t="shared" si="67"/>
        <v>"type":"",</v>
      </c>
      <c r="O376" t="str">
        <f t="shared" si="68"/>
        <v>"subtype":"",</v>
      </c>
      <c r="P376" t="str">
        <f t="shared" si="52"/>
        <v>"indent":,</v>
      </c>
      <c r="Q376" t="str">
        <f t="shared" si="70"/>
        <v>"default_value":"",</v>
      </c>
      <c r="R376" t="str">
        <f t="shared" si="71"/>
        <v>"docs_url":"",</v>
      </c>
      <c r="S376" t="str">
        <f t="shared" si="69"/>
        <v>"has_allowed_values":False,</v>
      </c>
      <c r="T376" t="str">
        <f t="shared" si="55"/>
        <v>"allowed_values":""</v>
      </c>
    </row>
    <row r="377" spans="1:20" ht="15" hidden="1" customHeight="1">
      <c r="B377" s="12"/>
      <c r="M377" t="e">
        <f>"{"&amp;""""&amp;#REF!
&amp;""":{"&amp;""""&amp;#REF!&amp;""":{"&amp;_xlfn.CONCAT(N377:T377)&amp;"}}}"</f>
        <v>#REF!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55"/>
        <v>"allowed_values":""</v>
      </c>
    </row>
    <row r="378" spans="1:20" ht="15" hidden="1" customHeight="1">
      <c r="B378" s="12"/>
      <c r="M378" t="e">
        <f>"{"&amp;""""&amp;#REF!
&amp;""":{"&amp;""""&amp;#REF!&amp;""":{"&amp;_xlfn.CONCAT(N378:T378)&amp;"}}}"</f>
        <v>#REF!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55"/>
        <v>"allowed_values":""</v>
      </c>
    </row>
    <row r="379" spans="1:20" ht="15" hidden="1" customHeight="1">
      <c r="B379" s="12"/>
      <c r="M379" t="e">
        <f>"{"&amp;""""&amp;#REF!
&amp;""":{"&amp;""""&amp;#REF!&amp;""":{"&amp;_xlfn.CONCAT(N379:T379)&amp;"}}}"</f>
        <v>#REF!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55"/>
        <v>"allowed_values":""</v>
      </c>
    </row>
    <row r="380" spans="1:20" ht="15" hidden="1" customHeight="1">
      <c r="B380" s="12"/>
      <c r="M380" t="e">
        <f>"{"&amp;""""&amp;#REF!
&amp;""":{"&amp;""""&amp;#REF!&amp;""":{"&amp;_xlfn.CONCAT(N380:T380)&amp;"}}}"</f>
        <v>#REF!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si="69"/>
        <v>"has_allowed_values":False,</v>
      </c>
      <c r="T380" t="str">
        <f t="shared" si="55"/>
        <v>"allowed_values":""</v>
      </c>
    </row>
    <row r="381" spans="1:20" ht="15" hidden="1" customHeight="1">
      <c r="B381" s="12"/>
      <c r="M381" t="e">
        <f>"{"&amp;""""&amp;#REF!
&amp;""":{"&amp;""""&amp;#REF!&amp;""":{"&amp;_xlfn.CONCAT(N381:T381)&amp;"}}}"</f>
        <v>#REF!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si="71"/>
        <v>"docs_url":"",</v>
      </c>
      <c r="S381" t="str">
        <f t="shared" si="69"/>
        <v>"has_allowed_values":False,</v>
      </c>
      <c r="T381" t="str">
        <f t="shared" si="55"/>
        <v>"allowed_values":""</v>
      </c>
    </row>
    <row r="382" spans="1:20" ht="15" hidden="1" customHeight="1">
      <c r="B382" s="13"/>
      <c r="M382" t="e">
        <f>"{"&amp;""""&amp;#REF!
&amp;""":{"&amp;""""&amp;#REF!&amp;""":{"&amp;_xlfn.CONCAT(N382:T382)&amp;"}}}"</f>
        <v>#REF!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71"/>
        <v>"docs_url":"",</v>
      </c>
      <c r="S382" t="str">
        <f t="shared" si="69"/>
        <v>"has_allowed_values":False,</v>
      </c>
      <c r="T382" t="str">
        <f t="shared" si="55"/>
        <v>"allowed_values":""</v>
      </c>
    </row>
    <row r="383" spans="1:20" ht="15" hidden="1" customHeight="1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:20" ht="15" hidden="1" customHeight="1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hidden="1" customHeight="1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hidden="1" customHeight="1">
      <c r="M386" t="str">
        <f t="shared" ref="M386:M409" si="72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hidden="1" customHeight="1">
      <c r="M387" t="str">
        <f t="shared" si="72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09" si="73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74">"""allowed_values"":"&amp;IF(J387&lt;&gt;"",J387,"""""")</f>
        <v>"allowed_values":""</v>
      </c>
    </row>
    <row r="388" spans="13:20" ht="15" hidden="1" customHeight="1">
      <c r="M388" t="str">
        <f t="shared" si="72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73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74"/>
        <v>"allowed_values":""</v>
      </c>
    </row>
    <row r="389" spans="13:20" ht="15" hidden="1" customHeight="1">
      <c r="M389" t="str">
        <f t="shared" si="72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73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74"/>
        <v>"allowed_values":""</v>
      </c>
    </row>
    <row r="390" spans="13:20" ht="15" hidden="1" customHeight="1">
      <c r="M390" t="str">
        <f t="shared" si="72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73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74"/>
        <v>"allowed_values":""</v>
      </c>
    </row>
    <row r="391" spans="13:20" ht="15" hidden="1" customHeight="1">
      <c r="M391" t="str">
        <f t="shared" si="72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73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74"/>
        <v>"allowed_values":""</v>
      </c>
    </row>
    <row r="392" spans="13:20" ht="15" hidden="1" customHeight="1">
      <c r="M392" t="str">
        <f t="shared" si="72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73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74"/>
        <v>"allowed_values":""</v>
      </c>
    </row>
    <row r="393" spans="13:20" ht="15" hidden="1" customHeight="1">
      <c r="M393" t="str">
        <f t="shared" si="72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73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74"/>
        <v>"allowed_values":""</v>
      </c>
    </row>
    <row r="394" spans="13:20" ht="15" hidden="1" customHeight="1">
      <c r="M394" t="str">
        <f t="shared" si="72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73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74"/>
        <v>"allowed_values":""</v>
      </c>
    </row>
    <row r="395" spans="13:20" ht="15" hidden="1" customHeight="1">
      <c r="M395" t="str">
        <f t="shared" si="72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73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74"/>
        <v>"allowed_values":""</v>
      </c>
    </row>
    <row r="396" spans="13:20" ht="15" hidden="1" customHeight="1">
      <c r="M396" t="str">
        <f t="shared" si="72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73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74"/>
        <v>"allowed_values":""</v>
      </c>
    </row>
    <row r="397" spans="13:20" ht="15" hidden="1" customHeight="1">
      <c r="M397" t="str">
        <f t="shared" si="72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73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74"/>
        <v>"allowed_values":""</v>
      </c>
    </row>
    <row r="398" spans="13:20" ht="15" hidden="1" customHeight="1">
      <c r="M398" t="str">
        <f t="shared" si="72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73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74"/>
        <v>"allowed_values":""</v>
      </c>
    </row>
    <row r="399" spans="13:20" ht="15" hidden="1" customHeight="1">
      <c r="M399" t="str">
        <f t="shared" si="72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73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74"/>
        <v>"allowed_values":""</v>
      </c>
    </row>
    <row r="400" spans="13:20" ht="15" hidden="1" customHeight="1">
      <c r="M400" t="str">
        <f t="shared" si="72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73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74"/>
        <v>"allowed_values":""</v>
      </c>
    </row>
    <row r="401" spans="13:20" ht="15" hidden="1" customHeight="1">
      <c r="M401" t="str">
        <f t="shared" si="72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73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74"/>
        <v>"allowed_values":""</v>
      </c>
    </row>
    <row r="402" spans="13:20" ht="15" hidden="1" customHeight="1">
      <c r="M402" t="str">
        <f t="shared" si="72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73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74"/>
        <v>"allowed_values":""</v>
      </c>
    </row>
    <row r="403" spans="13:20" ht="15" hidden="1" customHeight="1">
      <c r="M403" t="str">
        <f t="shared" si="72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73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74"/>
        <v>"allowed_values":""</v>
      </c>
    </row>
    <row r="404" spans="13:20" ht="15" hidden="1" customHeight="1">
      <c r="M404" t="str">
        <f t="shared" si="72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73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74"/>
        <v>"allowed_values":""</v>
      </c>
    </row>
    <row r="405" spans="13:20" ht="15" hidden="1" customHeight="1">
      <c r="M405" t="str">
        <f t="shared" si="72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73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74"/>
        <v>"allowed_values":""</v>
      </c>
    </row>
    <row r="406" spans="13:20" ht="15" hidden="1" customHeight="1">
      <c r="M406" t="str">
        <f t="shared" si="72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73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74"/>
        <v>"allowed_values":""</v>
      </c>
    </row>
    <row r="407" spans="13:20" ht="15" hidden="1" customHeight="1">
      <c r="M407" t="str">
        <f t="shared" si="72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73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74"/>
        <v>"allowed_values":""</v>
      </c>
    </row>
    <row r="408" spans="13:20" ht="15" hidden="1" customHeight="1">
      <c r="M408" t="str">
        <f t="shared" si="72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73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74"/>
        <v>"allowed_values":""</v>
      </c>
    </row>
    <row r="409" spans="13:20" ht="15" hidden="1" customHeight="1">
      <c r="M409" t="str">
        <f t="shared" si="72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73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74"/>
        <v>"allowed_values":""</v>
      </c>
    </row>
  </sheetData>
  <autoFilter ref="A1:J409" xr:uid="{ADA28AC6-3A3D-CB4D-A516-D61924D83BF1}">
    <filterColumn colId="1">
      <filters>
        <filter val="form_param"/>
        <filter val="label_from_parameter"/>
        <filter val="param"/>
        <filter val="parameter"/>
        <filter val="user_attribute_param"/>
      </filters>
    </filterColumn>
  </autoFilter>
  <conditionalFormatting sqref="B1:B350 B352:B355 B370:B374 B383:B1048576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  <hyperlink ref="H346" r:id="rId358" xr:uid="{8686F874-56FC-344A-92E6-9DDA73EE5B97}"/>
    <hyperlink ref="H358" r:id="rId359" xr:uid="{755E53CB-E8F6-3F4E-8BCE-2BEE23D84C91}"/>
    <hyperlink ref="H359" r:id="rId360" location="using_export_in_imported_projects" xr:uid="{8A60D39B-6ADC-9E46-83C6-815AD67B390F}"/>
    <hyperlink ref="H360" r:id="rId361" xr:uid="{B688E181-5BBB-E742-8479-D5A25B6F3C81}"/>
    <hyperlink ref="H367" r:id="rId362" location="using_export_in_imported_projects" xr:uid="{454F35E4-3AFB-4446-8E2F-4C721F02475C}"/>
    <hyperlink ref="H201" r:id="rId363" xr:uid="{2235DCBC-906A-894B-BBB8-EFBA8FE98876}"/>
    <hyperlink ref="H368" r:id="rId364" location="specifying_allowed_values" xr:uid="{54FC3BCB-5614-9D4F-AB2E-F451BECB3E94}"/>
    <hyperlink ref="H369" r:id="rId365" location="specifying_allowed_values" xr:uid="{F38BFCC2-ACFC-D243-8D77-5616FD6801D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2020-11-27T20:05:08Z</dcterms:modified>
</cp:coreProperties>
</file>